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397067734ce4e5d/Documents/Sports Models/College Football/"/>
    </mc:Choice>
  </mc:AlternateContent>
  <xr:revisionPtr revIDLastSave="123" documentId="13_ncr:1_{C8EA5C75-3B08-440A-8486-68F37CDE1E8C}" xr6:coauthVersionLast="47" xr6:coauthVersionMax="47" xr10:uidLastSave="{F4FE4B66-D0DA-453F-8C5F-9ADBDFF1693E}"/>
  <bookViews>
    <workbookView xWindow="-108" yWindow="-108" windowWidth="23256" windowHeight="12456" xr2:uid="{79067D6A-151F-46F8-ABA6-36162558AEDE}"/>
  </bookViews>
  <sheets>
    <sheet name="2025" sheetId="1" r:id="rId1"/>
    <sheet name="2024" sheetId="2" r:id="rId2"/>
    <sheet name="2023" sheetId="4" r:id="rId3"/>
  </sheets>
  <functionGroups builtInGroupCount="19"/>
  <definedNames>
    <definedName name="_xlnm._FilterDatabase" localSheetId="2" hidden="1">'2023'!$A$12:$W$12</definedName>
    <definedName name="_xlnm._FilterDatabase" localSheetId="1" hidden="1">'2024'!$A$12:$X$12</definedName>
    <definedName name="_xlnm._FilterDatabase" localSheetId="0" hidden="1">'2025'!$A$12:$Z$12</definedName>
    <definedName name="_xleta.COLUM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4" l="1"/>
  <c r="E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Z12" i="1"/>
  <c r="W12" i="1"/>
  <c r="V12" i="1"/>
  <c r="S12" i="1"/>
  <c r="Q12" i="1"/>
  <c r="O12" i="1"/>
  <c r="N12" i="1"/>
  <c r="L12" i="1"/>
  <c r="K12" i="1"/>
  <c r="I12" i="1"/>
  <c r="H12" i="1"/>
  <c r="F12" i="1"/>
  <c r="G12" i="1"/>
  <c r="J12" i="1"/>
  <c r="M12" i="1"/>
  <c r="P12" i="1"/>
  <c r="R12" i="1"/>
  <c r="T12" i="1"/>
  <c r="U12" i="1"/>
  <c r="X12" i="1"/>
  <c r="Y12" i="1"/>
  <c r="E12" i="1"/>
  <c r="A56" i="2" a="1"/>
  <c r="A128" i="2" a="1"/>
  <c r="A112" i="2" a="1"/>
  <c r="A125" i="2" a="1"/>
  <c r="A144" i="2" a="1"/>
  <c r="A75" i="2" a="1"/>
  <c r="A16" i="2" a="1"/>
  <c r="A29" i="2" a="1"/>
  <c r="A48" i="2" a="1"/>
  <c r="A85" i="2" a="1"/>
  <c r="A73" i="2" a="1"/>
  <c r="A34" i="4" a="1"/>
  <c r="A23" i="4" a="1"/>
  <c r="A95" i="4" a="1"/>
  <c r="A84" i="4" a="1"/>
  <c r="A73" i="4" a="1"/>
  <c r="A32" i="4" a="1"/>
  <c r="A92" i="4" a="1"/>
  <c r="A29" i="4" a="1"/>
  <c r="A18" i="4" a="1"/>
  <c r="A90" i="4" a="1"/>
  <c r="A79" i="4" a="1"/>
  <c r="A50" i="4" a="1"/>
  <c r="A21" i="4" a="1"/>
  <c r="A91" i="4" a="1"/>
  <c r="A135" i="2" a="1"/>
  <c r="A22" i="4" a="1"/>
  <c r="A122" i="2" a="1"/>
  <c r="A141" i="2" a="1"/>
  <c r="A23" i="2" a="1"/>
  <c r="A61" i="2" a="1"/>
  <c r="A62" i="2" a="1"/>
  <c r="A134" i="2" a="1"/>
  <c r="A124" i="2" a="1"/>
  <c r="A137" i="2" a="1"/>
  <c r="A120" i="2" a="1"/>
  <c r="A81" i="2" a="1"/>
  <c r="A34" i="2" a="1"/>
  <c r="A41" i="2" a="1"/>
  <c r="A60" i="2" a="1"/>
  <c r="A109" i="2" a="1"/>
  <c r="A97" i="2" a="1"/>
  <c r="A40" i="4" a="1"/>
  <c r="A53" i="4" a="1"/>
  <c r="A51" i="4" a="1"/>
  <c r="A37" i="4" a="1"/>
  <c r="A14" i="4" a="1"/>
  <c r="A116" i="2" a="1"/>
  <c r="A28" i="4" a="1"/>
  <c r="A78" i="4" a="1"/>
  <c r="A68" i="2" a="1"/>
  <c r="A140" i="2" a="1"/>
  <c r="A136" i="2" a="1"/>
  <c r="A24" i="2" a="1"/>
  <c r="A15" i="2" a="1"/>
  <c r="A87" i="2" a="1"/>
  <c r="A46" i="2" a="1"/>
  <c r="A59" i="2" a="1"/>
  <c r="A72" i="2" a="1"/>
  <c r="A133" i="2" a="1"/>
  <c r="A145" i="2" a="1"/>
  <c r="A46" i="4" a="1"/>
  <c r="A35" i="4" a="1"/>
  <c r="A24" i="4" a="1"/>
  <c r="A96" i="4" a="1"/>
  <c r="A85" i="4" a="1"/>
  <c r="A68" i="4" a="1"/>
  <c r="A39" i="4" a="1"/>
  <c r="A57" i="4" a="1"/>
  <c r="A64" i="4" a="1"/>
  <c r="A48" i="4" a="1"/>
  <c r="A69" i="4" a="1"/>
  <c r="A88" i="2" a="1"/>
  <c r="A25" i="2" a="1"/>
  <c r="A61" i="4" a="1"/>
  <c r="A50" i="2" a="1"/>
  <c r="A74" i="2" a="1"/>
  <c r="A146" i="2" a="1"/>
  <c r="A17" i="2" a="1"/>
  <c r="A30" i="2" a="1"/>
  <c r="A21" i="2" a="1"/>
  <c r="A93" i="2" a="1"/>
  <c r="A58" i="2" a="1"/>
  <c r="A71" i="2" a="1"/>
  <c r="A84" i="2" a="1"/>
  <c r="A31" i="2" a="1"/>
  <c r="A49" i="2" a="1"/>
  <c r="A52" i="4" a="1"/>
  <c r="A41" i="4" a="1"/>
  <c r="A30" i="4" a="1"/>
  <c r="A19" i="4" a="1"/>
  <c r="A86" i="4" a="1"/>
  <c r="A31" i="4" a="1"/>
  <c r="A59" i="4" a="1"/>
  <c r="A44" i="2" a="1"/>
  <c r="A17" i="4" a="1"/>
  <c r="A81" i="4" a="1"/>
  <c r="A80" i="2" a="1"/>
  <c r="A22" i="2" a="1"/>
  <c r="A35" i="2" a="1"/>
  <c r="A42" i="2" a="1"/>
  <c r="A27" i="2" a="1"/>
  <c r="A99" i="2" a="1"/>
  <c r="A70" i="2" a="1"/>
  <c r="A83" i="2" a="1"/>
  <c r="A96" i="2" a="1"/>
  <c r="A91" i="2" a="1"/>
  <c r="A79" i="2" a="1"/>
  <c r="A58" i="4" a="1"/>
  <c r="A47" i="4" a="1"/>
  <c r="A36" i="4" a="1"/>
  <c r="A25" i="4" a="1"/>
  <c r="A26" i="4" a="1"/>
  <c r="A33" i="4" a="1"/>
  <c r="A75" i="4" a="1"/>
  <c r="A44" i="4" a="1"/>
  <c r="A93" i="4" a="1"/>
  <c r="A62" i="4" a="1"/>
  <c r="A142" i="2" a="1"/>
  <c r="A113" i="2" a="1"/>
  <c r="A14" i="2" a="1"/>
  <c r="A86" i="2" a="1"/>
  <c r="A28" i="2" a="1"/>
  <c r="A47" i="2" a="1"/>
  <c r="A54" i="2" a="1"/>
  <c r="A33" i="2" a="1"/>
  <c r="A105" i="2" a="1"/>
  <c r="A82" i="2" a="1"/>
  <c r="A95" i="2" a="1"/>
  <c r="A108" i="2" a="1"/>
  <c r="A115" i="2" a="1"/>
  <c r="A127" i="2" a="1"/>
  <c r="A42" i="4" a="1"/>
  <c r="A101" i="2" a="1"/>
  <c r="A83" i="4" a="1"/>
  <c r="A69" i="2" a="1"/>
  <c r="A20" i="2" a="1"/>
  <c r="A92" i="2" a="1"/>
  <c r="A40" i="2" a="1"/>
  <c r="A53" i="2" a="1"/>
  <c r="A66" i="2" a="1"/>
  <c r="A39" i="2" a="1"/>
  <c r="A111" i="2" a="1"/>
  <c r="A94" i="2" a="1"/>
  <c r="A107" i="2" a="1"/>
  <c r="A126" i="2" a="1"/>
  <c r="A139" i="2" a="1"/>
  <c r="A13" i="2" a="1"/>
  <c r="A70" i="4" a="1"/>
  <c r="A26" i="2" a="1"/>
  <c r="A98" i="2" a="1"/>
  <c r="A52" i="2" a="1"/>
  <c r="A65" i="2" a="1"/>
  <c r="A78" i="2" a="1"/>
  <c r="A45" i="2" a="1"/>
  <c r="A117" i="2" a="1"/>
  <c r="A106" i="2" a="1"/>
  <c r="A119" i="2" a="1"/>
  <c r="A138" i="2" a="1"/>
  <c r="A37" i="2" a="1"/>
  <c r="A76" i="4" a="1"/>
  <c r="A65" i="4" a="1"/>
  <c r="A54" i="4" a="1"/>
  <c r="A43" i="4" a="1"/>
  <c r="A80" i="4" a="1"/>
  <c r="A87" i="4" a="1"/>
  <c r="A15" i="4" a="1"/>
  <c r="A114" i="2" a="1"/>
  <c r="A67" i="2" a="1"/>
  <c r="A32" i="2" a="1"/>
  <c r="A104" i="2" a="1"/>
  <c r="A64" i="2" a="1"/>
  <c r="A77" i="2" a="1"/>
  <c r="A90" i="2" a="1"/>
  <c r="A51" i="2" a="1"/>
  <c r="A123" i="2" a="1"/>
  <c r="A118" i="2" a="1"/>
  <c r="A131" i="2" a="1"/>
  <c r="A19" i="2" a="1"/>
  <c r="A43" i="2" a="1"/>
  <c r="A82" i="4" a="1"/>
  <c r="A71" i="4" a="1"/>
  <c r="A60" i="4" a="1"/>
  <c r="A49" i="4" a="1"/>
  <c r="A27" i="4" a="1"/>
  <c r="A20" i="4" a="1"/>
  <c r="A13" i="4" a="1"/>
  <c r="A18" i="2" a="1"/>
  <c r="A103" i="2" a="1"/>
  <c r="A94" i="4" a="1"/>
  <c r="A63" i="4" a="1"/>
  <c r="A56" i="4" a="1"/>
  <c r="A132" i="2" a="1"/>
  <c r="A38" i="2" a="1"/>
  <c r="A110" i="2" a="1"/>
  <c r="A76" i="2" a="1"/>
  <c r="A89" i="2" a="1"/>
  <c r="A102" i="2" a="1"/>
  <c r="A57" i="2" a="1"/>
  <c r="A129" i="2" a="1"/>
  <c r="A130" i="2" a="1"/>
  <c r="A143" i="2" a="1"/>
  <c r="A55" i="2" a="1"/>
  <c r="A121" i="2" a="1"/>
  <c r="A16" i="4" a="1"/>
  <c r="A88" i="4" a="1"/>
  <c r="A77" i="4" a="1"/>
  <c r="A66" i="4" a="1"/>
  <c r="A55" i="4" a="1"/>
  <c r="A45" i="4" a="1"/>
  <c r="A38" i="4" a="1"/>
  <c r="A63" i="2" a="1"/>
  <c r="A72" i="4" a="1"/>
  <c r="A100" i="2" a="1"/>
  <c r="A36" i="2" a="1"/>
  <c r="A89" i="4" a="1"/>
  <c r="A67" i="4" a="1"/>
  <c r="A74" i="4" a="1"/>
  <c r="A60" i="1" a="1"/>
  <c r="A143" i="1" a="1"/>
  <c r="A37" i="1" a="1"/>
  <c r="A115" i="1" a="1"/>
  <c r="A38" i="1" a="1"/>
  <c r="A94" i="1" a="1"/>
  <c r="A88" i="1" a="1"/>
  <c r="A46" i="1" a="1"/>
  <c r="A33" i="1" a="1"/>
  <c r="A51" i="1" a="1"/>
  <c r="A47" i="1" a="1"/>
  <c r="A27" i="1" a="1"/>
  <c r="A91" i="1" a="1"/>
  <c r="A15" i="1" a="1"/>
  <c r="A39" i="1" a="1"/>
  <c r="A74" i="1" a="1"/>
  <c r="A148" i="1" a="1"/>
  <c r="A110" i="1" a="1"/>
  <c r="A113" i="1" a="1"/>
  <c r="A130" i="1" a="1"/>
  <c r="A125" i="1" a="1"/>
  <c r="A83" i="1" a="1"/>
  <c r="A119" i="1" a="1"/>
  <c r="A41" i="1" a="1"/>
  <c r="A102" i="1" a="1"/>
  <c r="A65" i="1" a="1"/>
  <c r="A87" i="1" a="1"/>
  <c r="A95" i="1" a="1"/>
  <c r="A121" i="1" a="1"/>
  <c r="A20" i="1" a="1"/>
  <c r="A82" i="1" a="1"/>
  <c r="A96" i="1" a="1"/>
  <c r="A117" i="1" a="1"/>
  <c r="A23" i="1" a="1"/>
  <c r="A128" i="1" a="1"/>
  <c r="A146" i="1" a="1"/>
  <c r="A141" i="1" a="1"/>
  <c r="A101" i="1" a="1"/>
  <c r="A144" i="1" a="1"/>
  <c r="A40" i="1" a="1"/>
  <c r="A53" i="1" a="1"/>
  <c r="A85" i="1" a="1"/>
  <c r="A124" i="1" a="1"/>
  <c r="A75" i="1" a="1"/>
  <c r="A25" i="1" a="1"/>
  <c r="A99" i="1" a="1"/>
  <c r="A112" i="1" a="1"/>
  <c r="A81" i="1" a="1"/>
  <c r="A111" i="1" a="1"/>
  <c r="A79" i="1" a="1"/>
  <c r="A92" i="1" a="1"/>
  <c r="A80" i="1" a="1"/>
  <c r="A78" i="1" a="1"/>
  <c r="A72" i="1" a="1"/>
  <c r="A31" i="1" a="1"/>
  <c r="A147" i="1" a="1"/>
  <c r="A127" i="1" a="1"/>
  <c r="A139" i="1" a="1"/>
  <c r="A100" i="1" a="1"/>
  <c r="A66" i="1" a="1"/>
  <c r="A109" i="1" a="1"/>
  <c r="A21" i="1" a="1"/>
  <c r="A108" i="1" a="1"/>
  <c r="A137" i="1" a="1"/>
  <c r="A44" i="1" a="1"/>
  <c r="A62" i="1" a="1"/>
  <c r="A49" i="1" a="1"/>
  <c r="A133" i="1" a="1"/>
  <c r="A48" i="1" a="1"/>
  <c r="A32" i="1" a="1"/>
  <c r="A106" i="1" a="1"/>
  <c r="A19" i="1" a="1"/>
  <c r="A97" i="1" a="1"/>
  <c r="A26" i="1" a="1"/>
  <c r="A93" i="1" a="1"/>
  <c r="A122" i="1" a="1"/>
  <c r="A29" i="1" a="1"/>
  <c r="A116" i="1" a="1"/>
  <c r="A24" i="1" a="1"/>
  <c r="A22" i="1" a="1"/>
  <c r="A42" i="1" a="1"/>
  <c r="A58" i="1" a="1"/>
  <c r="A71" i="1" a="1"/>
  <c r="A104" i="1" a="1"/>
  <c r="A114" i="1" a="1"/>
  <c r="A68" i="1" a="1"/>
  <c r="A136" i="1" a="1"/>
  <c r="A77" i="1" a="1"/>
  <c r="A52" i="1" a="1"/>
  <c r="A55" i="1" a="1"/>
  <c r="A135" i="1" a="1"/>
  <c r="A43" i="1" a="1"/>
  <c r="A45" i="1" a="1"/>
  <c r="A28" i="1" a="1"/>
  <c r="A98" i="1" a="1"/>
  <c r="A67" i="1" a="1"/>
  <c r="A129" i="1" a="1"/>
  <c r="A70" i="1" a="1"/>
  <c r="A105" i="1" a="1"/>
  <c r="A142" i="1" a="1"/>
  <c r="A73" i="1" a="1"/>
  <c r="A30" i="1" a="1"/>
  <c r="A59" i="1" a="1"/>
  <c r="A76" i="1" a="1"/>
  <c r="A84" i="1" a="1"/>
  <c r="A64" i="1" a="1"/>
  <c r="A107" i="1" a="1"/>
  <c r="A63" i="1" a="1"/>
  <c r="A120" i="1" a="1"/>
  <c r="A35" i="1" a="1"/>
  <c r="A57" i="1" a="1"/>
  <c r="A89" i="1" a="1"/>
  <c r="A126" i="1" a="1"/>
  <c r="A61" i="1" a="1"/>
  <c r="A14" i="1" a="1"/>
  <c r="A16" i="1" a="1"/>
  <c r="A90" i="1" a="1"/>
  <c r="A118" i="1" a="1"/>
  <c r="A69" i="1" a="1"/>
  <c r="A50" i="1" a="1"/>
  <c r="A140" i="1" a="1"/>
  <c r="A149" i="1" a="1"/>
  <c r="A145" i="1" a="1"/>
  <c r="A134" i="1" a="1"/>
  <c r="A138" i="1" a="1"/>
  <c r="A56" i="1" a="1"/>
  <c r="A123" i="1" a="1"/>
  <c r="A34" i="1" a="1"/>
  <c r="A54" i="1" a="1"/>
  <c r="A13" i="1" a="1"/>
  <c r="A132" i="1" a="1"/>
  <c r="A18" i="1" a="1"/>
  <c r="A131" i="1" a="1"/>
  <c r="A103" i="1" a="1"/>
  <c r="A86" i="1" a="1"/>
  <c r="A36" i="1" a="1"/>
  <c r="A17" i="1" a="1"/>
  <c r="A139" i="1" l="1"/>
  <c r="A127" i="1"/>
  <c r="A109" i="1"/>
  <c r="A91" i="1"/>
  <c r="A73" i="1"/>
  <c r="A49" i="1"/>
  <c r="A37" i="1"/>
  <c r="A19" i="1"/>
  <c r="A144" i="1"/>
  <c r="A126" i="1"/>
  <c r="A108" i="1"/>
  <c r="A90" i="1"/>
  <c r="A72" i="1"/>
  <c r="A54" i="1"/>
  <c r="A42" i="1"/>
  <c r="A18" i="1"/>
  <c r="A149" i="1"/>
  <c r="A137" i="1"/>
  <c r="A119" i="1"/>
  <c r="A107" i="1"/>
  <c r="A95" i="1"/>
  <c r="A83" i="1"/>
  <c r="A71" i="1"/>
  <c r="A59" i="1"/>
  <c r="A53" i="1"/>
  <c r="A35" i="1"/>
  <c r="A23" i="1"/>
  <c r="A148" i="1"/>
  <c r="A136" i="1"/>
  <c r="A124" i="1"/>
  <c r="A112" i="1"/>
  <c r="A100" i="1"/>
  <c r="A88" i="1"/>
  <c r="A76" i="1"/>
  <c r="A64" i="1"/>
  <c r="A52" i="1"/>
  <c r="A40" i="1"/>
  <c r="A16" i="1"/>
  <c r="A147" i="1"/>
  <c r="A141" i="1"/>
  <c r="A135" i="1"/>
  <c r="A129" i="1"/>
  <c r="A123" i="1"/>
  <c r="A117" i="1"/>
  <c r="A111" i="1"/>
  <c r="A105" i="1"/>
  <c r="A99" i="1"/>
  <c r="A93" i="1"/>
  <c r="A87" i="1"/>
  <c r="A81" i="1"/>
  <c r="A75" i="1"/>
  <c r="A69" i="1"/>
  <c r="A63" i="1"/>
  <c r="A57" i="1"/>
  <c r="A51" i="1"/>
  <c r="A45" i="1"/>
  <c r="A39" i="1"/>
  <c r="A33" i="1"/>
  <c r="A27" i="1"/>
  <c r="A21" i="1"/>
  <c r="A15" i="1"/>
  <c r="A145" i="1"/>
  <c r="A133" i="1"/>
  <c r="A115" i="1"/>
  <c r="A97" i="1"/>
  <c r="A79" i="1"/>
  <c r="A61" i="1"/>
  <c r="A31" i="1"/>
  <c r="A132" i="1"/>
  <c r="A114" i="1"/>
  <c r="A96" i="1"/>
  <c r="A78" i="1"/>
  <c r="A60" i="1"/>
  <c r="A30" i="1"/>
  <c r="A125" i="1"/>
  <c r="A41" i="1"/>
  <c r="A28" i="1"/>
  <c r="A121" i="1"/>
  <c r="A103" i="1"/>
  <c r="A85" i="1"/>
  <c r="A67" i="1"/>
  <c r="A55" i="1"/>
  <c r="A43" i="1"/>
  <c r="A25" i="1"/>
  <c r="A138" i="1"/>
  <c r="A120" i="1"/>
  <c r="A102" i="1"/>
  <c r="A84" i="1"/>
  <c r="A66" i="1"/>
  <c r="A48" i="1"/>
  <c r="A36" i="1"/>
  <c r="A24" i="1"/>
  <c r="A143" i="1"/>
  <c r="A131" i="1"/>
  <c r="A113" i="1"/>
  <c r="A101" i="1"/>
  <c r="A89" i="1"/>
  <c r="A77" i="1"/>
  <c r="A65" i="1"/>
  <c r="A47" i="1"/>
  <c r="A29" i="1"/>
  <c r="A17" i="1"/>
  <c r="A142" i="1"/>
  <c r="A130" i="1"/>
  <c r="A118" i="1"/>
  <c r="A106" i="1"/>
  <c r="A94" i="1"/>
  <c r="A82" i="1"/>
  <c r="A70" i="1"/>
  <c r="A58" i="1"/>
  <c r="A46" i="1"/>
  <c r="A34" i="1"/>
  <c r="A22" i="1"/>
  <c r="A146" i="1"/>
  <c r="A140" i="1"/>
  <c r="A134" i="1"/>
  <c r="A128" i="1"/>
  <c r="A122" i="1"/>
  <c r="A116" i="1"/>
  <c r="A110" i="1"/>
  <c r="A104" i="1"/>
  <c r="A98" i="1"/>
  <c r="A92" i="1"/>
  <c r="A86" i="1"/>
  <c r="A80" i="1"/>
  <c r="A74" i="1"/>
  <c r="A68" i="1"/>
  <c r="A62" i="1"/>
  <c r="A56" i="1"/>
  <c r="A50" i="1"/>
  <c r="A44" i="1"/>
  <c r="A38" i="1"/>
  <c r="A32" i="1"/>
  <c r="A26" i="1"/>
  <c r="A20" i="1"/>
  <c r="A14" i="1"/>
  <c r="A13" i="1"/>
  <c r="A127" i="2"/>
  <c r="A79" i="2"/>
  <c r="A49" i="2"/>
  <c r="A145" i="2"/>
  <c r="A97" i="2"/>
  <c r="A73" i="2"/>
  <c r="A67" i="2"/>
  <c r="A103" i="2"/>
  <c r="A121" i="2"/>
  <c r="A43" i="2"/>
  <c r="A37" i="2"/>
  <c r="A139" i="2"/>
  <c r="A115" i="2"/>
  <c r="A91" i="2"/>
  <c r="A31" i="2"/>
  <c r="A133" i="2"/>
  <c r="A109" i="2"/>
  <c r="A85" i="2"/>
  <c r="A61" i="2"/>
  <c r="A25" i="2"/>
  <c r="A55" i="2"/>
  <c r="A19" i="2"/>
  <c r="A138" i="2"/>
  <c r="A126" i="2"/>
  <c r="A108" i="2"/>
  <c r="A96" i="2"/>
  <c r="A84" i="2"/>
  <c r="A72" i="2"/>
  <c r="A60" i="2"/>
  <c r="A48" i="2"/>
  <c r="A36" i="2"/>
  <c r="A18" i="2"/>
  <c r="A143" i="2"/>
  <c r="A131" i="2"/>
  <c r="A119" i="2"/>
  <c r="A107" i="2"/>
  <c r="A95" i="2"/>
  <c r="A83" i="2"/>
  <c r="A71" i="2"/>
  <c r="A59" i="2"/>
  <c r="A41" i="2"/>
  <c r="A29" i="2"/>
  <c r="A23" i="2"/>
  <c r="A142" i="2"/>
  <c r="A130" i="2"/>
  <c r="A118" i="2"/>
  <c r="A106" i="2"/>
  <c r="A94" i="2"/>
  <c r="A82" i="2"/>
  <c r="A70" i="2"/>
  <c r="A58" i="2"/>
  <c r="A46" i="2"/>
  <c r="A34" i="2"/>
  <c r="A16" i="2"/>
  <c r="A141" i="2"/>
  <c r="A135" i="2"/>
  <c r="A129" i="2"/>
  <c r="A123" i="2"/>
  <c r="A117" i="2"/>
  <c r="A111" i="2"/>
  <c r="A105" i="2"/>
  <c r="A99" i="2"/>
  <c r="A93" i="2"/>
  <c r="A87" i="2"/>
  <c r="A81" i="2"/>
  <c r="A75" i="2"/>
  <c r="A69" i="2"/>
  <c r="A63" i="2"/>
  <c r="A57" i="2"/>
  <c r="A51" i="2"/>
  <c r="A45" i="2"/>
  <c r="A39" i="2"/>
  <c r="A33" i="2"/>
  <c r="A27" i="2"/>
  <c r="A21" i="2"/>
  <c r="A15" i="2"/>
  <c r="A120" i="2"/>
  <c r="A144" i="2"/>
  <c r="A132" i="2"/>
  <c r="A114" i="2"/>
  <c r="A102" i="2"/>
  <c r="A90" i="2"/>
  <c r="A78" i="2"/>
  <c r="A66" i="2"/>
  <c r="A54" i="2"/>
  <c r="A42" i="2"/>
  <c r="A30" i="2"/>
  <c r="A24" i="2"/>
  <c r="A137" i="2"/>
  <c r="A125" i="2"/>
  <c r="A113" i="2"/>
  <c r="A101" i="2"/>
  <c r="A89" i="2"/>
  <c r="A77" i="2"/>
  <c r="A65" i="2"/>
  <c r="A53" i="2"/>
  <c r="A47" i="2"/>
  <c r="A35" i="2"/>
  <c r="A17" i="2"/>
  <c r="A136" i="2"/>
  <c r="A124" i="2"/>
  <c r="A112" i="2"/>
  <c r="A100" i="2"/>
  <c r="A88" i="2"/>
  <c r="A76" i="2"/>
  <c r="A64" i="2"/>
  <c r="A52" i="2"/>
  <c r="A40" i="2"/>
  <c r="A28" i="2"/>
  <c r="A22" i="2"/>
  <c r="A146" i="2"/>
  <c r="A140" i="2"/>
  <c r="A134" i="2"/>
  <c r="A128" i="2"/>
  <c r="A122" i="2"/>
  <c r="A116" i="2"/>
  <c r="A110" i="2"/>
  <c r="A104" i="2"/>
  <c r="A98" i="2"/>
  <c r="A92" i="2"/>
  <c r="A86" i="2"/>
  <c r="A80" i="2"/>
  <c r="A74" i="2"/>
  <c r="A68" i="2"/>
  <c r="A62" i="2"/>
  <c r="A56" i="2"/>
  <c r="A50" i="2"/>
  <c r="A44" i="2"/>
  <c r="A38" i="2"/>
  <c r="A32" i="2"/>
  <c r="A26" i="2"/>
  <c r="A20" i="2"/>
  <c r="A14" i="2"/>
  <c r="A13" i="2"/>
  <c r="A93" i="4"/>
  <c r="A75" i="4"/>
  <c r="A57" i="4"/>
  <c r="A39" i="4"/>
  <c r="A21" i="4"/>
  <c r="A92" i="4"/>
  <c r="A74" i="4"/>
  <c r="A56" i="4"/>
  <c r="A38" i="4"/>
  <c r="A20" i="4"/>
  <c r="A87" i="4"/>
  <c r="A69" i="4"/>
  <c r="A51" i="4"/>
  <c r="A33" i="4"/>
  <c r="A86" i="4"/>
  <c r="A68" i="4"/>
  <c r="A50" i="4"/>
  <c r="A32" i="4"/>
  <c r="A81" i="4"/>
  <c r="A63" i="4"/>
  <c r="A45" i="4"/>
  <c r="A27" i="4"/>
  <c r="A80" i="4"/>
  <c r="A62" i="4"/>
  <c r="A44" i="4"/>
  <c r="A26" i="4"/>
  <c r="A91" i="4"/>
  <c r="A85" i="4"/>
  <c r="A79" i="4"/>
  <c r="A73" i="4"/>
  <c r="A67" i="4"/>
  <c r="A61" i="4"/>
  <c r="A55" i="4"/>
  <c r="A49" i="4"/>
  <c r="A43" i="4"/>
  <c r="A37" i="4"/>
  <c r="A31" i="4"/>
  <c r="A25" i="4"/>
  <c r="A19" i="4"/>
  <c r="A96" i="4"/>
  <c r="A90" i="4"/>
  <c r="A84" i="4"/>
  <c r="A78" i="4"/>
  <c r="A72" i="4"/>
  <c r="A66" i="4"/>
  <c r="A60" i="4"/>
  <c r="A54" i="4"/>
  <c r="A48" i="4"/>
  <c r="A42" i="4"/>
  <c r="A36" i="4"/>
  <c r="A30" i="4"/>
  <c r="A24" i="4"/>
  <c r="A18" i="4"/>
  <c r="A95" i="4"/>
  <c r="A89" i="4"/>
  <c r="A83" i="4"/>
  <c r="A77" i="4"/>
  <c r="A71" i="4"/>
  <c r="A65" i="4"/>
  <c r="A59" i="4"/>
  <c r="A53" i="4"/>
  <c r="A47" i="4"/>
  <c r="A41" i="4"/>
  <c r="A35" i="4"/>
  <c r="A29" i="4"/>
  <c r="A23" i="4"/>
  <c r="A17" i="4"/>
  <c r="A94" i="4"/>
  <c r="A88" i="4"/>
  <c r="A82" i="4"/>
  <c r="A76" i="4"/>
  <c r="A70" i="4"/>
  <c r="A64" i="4"/>
  <c r="A58" i="4"/>
  <c r="A52" i="4"/>
  <c r="A46" i="4"/>
  <c r="A40" i="4"/>
  <c r="A34" i="4"/>
  <c r="A28" i="4"/>
  <c r="A22" i="4"/>
  <c r="A16" i="4"/>
  <c r="A15" i="4"/>
  <c r="A14" i="4"/>
  <c r="A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<sst xmlns="http://schemas.openxmlformats.org/spreadsheetml/2006/main" count="952" uniqueCount="313">
  <si>
    <t>Team</t>
  </si>
  <si>
    <t>FPI</t>
  </si>
  <si>
    <t>SOS</t>
  </si>
  <si>
    <t>Total Eff</t>
  </si>
  <si>
    <t>Off Eff</t>
  </si>
  <si>
    <t>Def Eff</t>
  </si>
  <si>
    <t>3rd Conv %</t>
  </si>
  <si>
    <t>3rd Conv % Def</t>
  </si>
  <si>
    <t>Penalty/GM</t>
  </si>
  <si>
    <t>Pass YPG</t>
  </si>
  <si>
    <t>Opp Pass YPG</t>
  </si>
  <si>
    <t>RZ Def</t>
  </si>
  <si>
    <t>RZ Off</t>
  </si>
  <si>
    <t>Opp Rush YPG</t>
  </si>
  <si>
    <t>Rush YPG</t>
  </si>
  <si>
    <t>Opp PPG</t>
  </si>
  <si>
    <t>PPG</t>
  </si>
  <si>
    <t>SCR MAR</t>
  </si>
  <si>
    <t>Pass Eff</t>
  </si>
  <si>
    <t>Opp YPG</t>
  </si>
  <si>
    <t>YPG</t>
  </si>
  <si>
    <t>TO MAR</t>
  </si>
  <si>
    <t>2015 Alabama Crimson Tide</t>
  </si>
  <si>
    <t>2016 Clemson Tigers</t>
  </si>
  <si>
    <t>2017 Alabama Crimson Tide</t>
  </si>
  <si>
    <t>2018 Clemson Tigers</t>
  </si>
  <si>
    <t>2019 LSU Tigers</t>
  </si>
  <si>
    <t>2020 Alabama Crimson Tide</t>
  </si>
  <si>
    <t>2021 Georgia Bulldogs</t>
  </si>
  <si>
    <t>2022 Georgia Bulldogs</t>
  </si>
  <si>
    <t>2023 Michigan Wolverines</t>
  </si>
  <si>
    <t>2024 Ohio State Buckeyes</t>
  </si>
  <si>
    <t>Total Points</t>
  </si>
  <si>
    <t>Air Force Falcons</t>
  </si>
  <si>
    <t>Akron Zips</t>
  </si>
  <si>
    <t>Alabama Crimson Tide</t>
  </si>
  <si>
    <t>App State Mountaineers</t>
  </si>
  <si>
    <t>Arizona State Sun Devils</t>
  </si>
  <si>
    <t>Arizona Wildcats</t>
  </si>
  <si>
    <t>Arkansas Razorbacks</t>
  </si>
  <si>
    <t>Arkansas State Red Wolves</t>
  </si>
  <si>
    <t>Army Black Knights</t>
  </si>
  <si>
    <t>Auburn Tigers</t>
  </si>
  <si>
    <t>Ball State Cardinals</t>
  </si>
  <si>
    <t>Baylor Bears</t>
  </si>
  <si>
    <t>Boise State Broncos</t>
  </si>
  <si>
    <t>Boston College Eagles</t>
  </si>
  <si>
    <t>Bowling Green Falcons</t>
  </si>
  <si>
    <t>Buffalo Bulls</t>
  </si>
  <si>
    <t>BYU Cougars</t>
  </si>
  <si>
    <t>California Golden Bears</t>
  </si>
  <si>
    <t>Central Michigan Chippewas</t>
  </si>
  <si>
    <t>Charlotte 49ers</t>
  </si>
  <si>
    <t>Cincinnati Bearcats</t>
  </si>
  <si>
    <t>Clemson Tigers</t>
  </si>
  <si>
    <t>Coastal Carolina Chanticleers</t>
  </si>
  <si>
    <t>Colorado Buffaloes</t>
  </si>
  <si>
    <t>Colorado State Rams</t>
  </si>
  <si>
    <t>Duke Blue Devils</t>
  </si>
  <si>
    <t>East Carolina Pirates</t>
  </si>
  <si>
    <t>Eastern Michigan Eagles</t>
  </si>
  <si>
    <t>FIU Panthers</t>
  </si>
  <si>
    <t>Florida Atlantic Owls</t>
  </si>
  <si>
    <t>Florida Gators</t>
  </si>
  <si>
    <t>Florida State Seminoles</t>
  </si>
  <si>
    <t>Fresno State Bulldogs</t>
  </si>
  <si>
    <t>Georgia Bulldogs</t>
  </si>
  <si>
    <t>Georgia Southern Eagles</t>
  </si>
  <si>
    <t>Georgia State Panthers</t>
  </si>
  <si>
    <t>Georgia Tech Yellow Jackets</t>
  </si>
  <si>
    <t>Hawai'i Rainbow Warriors</t>
  </si>
  <si>
    <t>Houston Cougars</t>
  </si>
  <si>
    <t>Illinois Fighting Illini</t>
  </si>
  <si>
    <t>Indiana Hoosiers</t>
  </si>
  <si>
    <t>Iowa Hawkeyes</t>
  </si>
  <si>
    <t>Iowa State Cyclones</t>
  </si>
  <si>
    <t>Jacksonville State Gamecocks</t>
  </si>
  <si>
    <t>James Madison Dukes</t>
  </si>
  <si>
    <t>Kansas Jayhawks</t>
  </si>
  <si>
    <t>Kansas State Wildcats</t>
  </si>
  <si>
    <t>Kennesaw State Owls</t>
  </si>
  <si>
    <t>Kent State Golden Flashes</t>
  </si>
  <si>
    <t>Kentucky Wildcats</t>
  </si>
  <si>
    <t>Liberty Flames</t>
  </si>
  <si>
    <t>Louisiana Ragin' Cajuns</t>
  </si>
  <si>
    <t>Louisiana Tech Bulldogs</t>
  </si>
  <si>
    <t>Louisville Cardinals</t>
  </si>
  <si>
    <t>LSU Tigers</t>
  </si>
  <si>
    <t>Marshall Thundering Herd</t>
  </si>
  <si>
    <t>Maryland Terrapins</t>
  </si>
  <si>
    <t>Massachusetts Minutemen</t>
  </si>
  <si>
    <t>Memphis Tigers</t>
  </si>
  <si>
    <t>Miami (FL) Hurricanes</t>
  </si>
  <si>
    <t>Miami (OH) RedHawks</t>
  </si>
  <si>
    <t>Michigan State Spartans</t>
  </si>
  <si>
    <t>Michigan Wolverines</t>
  </si>
  <si>
    <t>Middle Tennessee Blue Raiders</t>
  </si>
  <si>
    <t>Minnesota Golden Gophers</t>
  </si>
  <si>
    <t>Mississippi State Bulldogs</t>
  </si>
  <si>
    <t>Missouri Tigers</t>
  </si>
  <si>
    <t>Navy Midshipmen</t>
  </si>
  <si>
    <t>NC State Wolfpack</t>
  </si>
  <si>
    <t>Nebraska Cornhuskers</t>
  </si>
  <si>
    <t>Nevada Wolf Pack</t>
  </si>
  <si>
    <t>New Mexico Lobos</t>
  </si>
  <si>
    <t>New Mexico State Aggies</t>
  </si>
  <si>
    <t>North Carolina Tar Heels</t>
  </si>
  <si>
    <t>North Texas Mean Green</t>
  </si>
  <si>
    <t>Northern Illinois Huskies</t>
  </si>
  <si>
    <t>Northwestern Wildcats</t>
  </si>
  <si>
    <t>Notre Dame Fighting Irish</t>
  </si>
  <si>
    <t>Ohio Bobcats</t>
  </si>
  <si>
    <t>Ohio State Buckeyes</t>
  </si>
  <si>
    <t>Oklahoma Sooners</t>
  </si>
  <si>
    <t>Oklahoma State Cowboys</t>
  </si>
  <si>
    <t>Old Dominion Monarchs</t>
  </si>
  <si>
    <t>Ole Miss Rebels</t>
  </si>
  <si>
    <t>Oregon Ducks</t>
  </si>
  <si>
    <t>Oregon State Beavers</t>
  </si>
  <si>
    <t>Penn State Nittany Lions</t>
  </si>
  <si>
    <t>Pittsburgh Panthers</t>
  </si>
  <si>
    <t>Purdue Boilermakers</t>
  </si>
  <si>
    <t>Rice Owls</t>
  </si>
  <si>
    <t>Rutgers Scarlet Knights</t>
  </si>
  <si>
    <t>Sam Houston Bearkats</t>
  </si>
  <si>
    <t>San Diego State Aztecs</t>
  </si>
  <si>
    <t>San José State Spartans</t>
  </si>
  <si>
    <t>SMU Mustangs</t>
  </si>
  <si>
    <t>South Alabama Jaguars</t>
  </si>
  <si>
    <t>South Carolina Gamecocks</t>
  </si>
  <si>
    <t>South Florida Bulls</t>
  </si>
  <si>
    <t>Southern Miss Golden Eagles</t>
  </si>
  <si>
    <t>Stanford Cardinal</t>
  </si>
  <si>
    <t>Syracuse Orange</t>
  </si>
  <si>
    <t>TCU Horned Frogs</t>
  </si>
  <si>
    <t>Temple Owls</t>
  </si>
  <si>
    <t>Tennessee Volunteers</t>
  </si>
  <si>
    <t>Texas A&amp;M Aggies</t>
  </si>
  <si>
    <t>Texas Longhorns</t>
  </si>
  <si>
    <t>Texas State Bobcats</t>
  </si>
  <si>
    <t>Texas Tech Red Raiders</t>
  </si>
  <si>
    <t>Toledo Rockets</t>
  </si>
  <si>
    <t>Troy Trojans</t>
  </si>
  <si>
    <t>Tulane Green Wave</t>
  </si>
  <si>
    <t>Tulsa Golden Hurricane</t>
  </si>
  <si>
    <t>UAB Blazers</t>
  </si>
  <si>
    <t>UCF Knights</t>
  </si>
  <si>
    <t>UCLA Bruins</t>
  </si>
  <si>
    <t>UConn Huskies</t>
  </si>
  <si>
    <t>UL Monroe Warhawks</t>
  </si>
  <si>
    <t>UNLV Rebels</t>
  </si>
  <si>
    <t>USC Trojans</t>
  </si>
  <si>
    <t>Utah State Aggies</t>
  </si>
  <si>
    <t>Utah Utes</t>
  </si>
  <si>
    <t>UTEP Miners</t>
  </si>
  <si>
    <t>UTSA Roadrunners</t>
  </si>
  <si>
    <t>Vanderbilt Commodores</t>
  </si>
  <si>
    <t>Virginia Cavaliers</t>
  </si>
  <si>
    <t>Virginia Tech Hokies</t>
  </si>
  <si>
    <t>Wake Forest Demon Deacons</t>
  </si>
  <si>
    <t>Washington Huskies</t>
  </si>
  <si>
    <t>Washington State Cougars</t>
  </si>
  <si>
    <t>West Virginia Mountaineers</t>
  </si>
  <si>
    <t>Western Kentucky Hilltoppers</t>
  </si>
  <si>
    <t>Western Michigan Broncos</t>
  </si>
  <si>
    <t>Wisconsin Badgers</t>
  </si>
  <si>
    <t>Wyoming Cowboys</t>
  </si>
  <si>
    <t>Pre AP</t>
  </si>
  <si>
    <t>-</t>
  </si>
  <si>
    <t>2014 Ohio State Buckeyes</t>
  </si>
  <si>
    <t>2013 Florida St</t>
  </si>
  <si>
    <t>2014 Ohio St</t>
  </si>
  <si>
    <t>2015 Alabama</t>
  </si>
  <si>
    <t>2016 Clemson</t>
  </si>
  <si>
    <t>2017 Alabama</t>
  </si>
  <si>
    <t>2018 Clemson</t>
  </si>
  <si>
    <t>2019 LSU</t>
  </si>
  <si>
    <t>2020 Alabama</t>
  </si>
  <si>
    <t>2021 Georgia</t>
  </si>
  <si>
    <t>2022 Georgia</t>
  </si>
  <si>
    <t>Air Force</t>
  </si>
  <si>
    <t>Alabama</t>
  </si>
  <si>
    <t>Appalachian St</t>
  </si>
  <si>
    <t>Arizona</t>
  </si>
  <si>
    <t>Arkansas St</t>
  </si>
  <si>
    <t>Auburn</t>
  </si>
  <si>
    <t>Boise St</t>
  </si>
  <si>
    <t>Boston College</t>
  </si>
  <si>
    <t>Bowling Green</t>
  </si>
  <si>
    <t>Cal</t>
  </si>
  <si>
    <t>Clemson</t>
  </si>
  <si>
    <t>Coastal Carolina</t>
  </si>
  <si>
    <t>Duke</t>
  </si>
  <si>
    <t>Eastern Michigan</t>
  </si>
  <si>
    <t>Florida A&amp;M</t>
  </si>
  <si>
    <t>Florida St</t>
  </si>
  <si>
    <t>Fresno St</t>
  </si>
  <si>
    <t>Georgia</t>
  </si>
  <si>
    <t>Georgia Southern</t>
  </si>
  <si>
    <t>Georgia St</t>
  </si>
  <si>
    <t>Georgia Tech</t>
  </si>
  <si>
    <t>Howard</t>
  </si>
  <si>
    <t>Iowa</t>
  </si>
  <si>
    <t>Iowa St</t>
  </si>
  <si>
    <t>Jacksonville St</t>
  </si>
  <si>
    <t>James Madison</t>
  </si>
  <si>
    <t>Kansas</t>
  </si>
  <si>
    <t>Kansas St</t>
  </si>
  <si>
    <t>Kentucky</t>
  </si>
  <si>
    <t>Liberty</t>
  </si>
  <si>
    <t>Louisiana</t>
  </si>
  <si>
    <t>Louisville</t>
  </si>
  <si>
    <t>LSU</t>
  </si>
  <si>
    <t>Marshall</t>
  </si>
  <si>
    <t>Maryland</t>
  </si>
  <si>
    <t>Memphis</t>
  </si>
  <si>
    <t>Miami (FL)</t>
  </si>
  <si>
    <t>Miami (OH)</t>
  </si>
  <si>
    <t>Michigan</t>
  </si>
  <si>
    <t>Minnesota</t>
  </si>
  <si>
    <t>Missouri</t>
  </si>
  <si>
    <t>NC State</t>
  </si>
  <si>
    <t>New Mexico St</t>
  </si>
  <si>
    <t>North Carolina</t>
  </si>
  <si>
    <t>Northern Illinois</t>
  </si>
  <si>
    <t>Northwestern</t>
  </si>
  <si>
    <t>Notre Dame</t>
  </si>
  <si>
    <t>Ohio</t>
  </si>
  <si>
    <t>Ohio St</t>
  </si>
  <si>
    <t>Oklahoma</t>
  </si>
  <si>
    <t>Oklahoma St</t>
  </si>
  <si>
    <t>Old Dominion</t>
  </si>
  <si>
    <t>Ole Miss</t>
  </si>
  <si>
    <t>Oregon</t>
  </si>
  <si>
    <t>Oregon St</t>
  </si>
  <si>
    <t>Penn St</t>
  </si>
  <si>
    <t>Rice</t>
  </si>
  <si>
    <t>Rutgers</t>
  </si>
  <si>
    <t>San Jose St</t>
  </si>
  <si>
    <t>SMU</t>
  </si>
  <si>
    <t>South Alabama</t>
  </si>
  <si>
    <t>South Florida</t>
  </si>
  <si>
    <t>Syracuse</t>
  </si>
  <si>
    <t>Tennessee</t>
  </si>
  <si>
    <t>Texas</t>
  </si>
  <si>
    <t>Texas A&amp;M</t>
  </si>
  <si>
    <t>Texas St</t>
  </si>
  <si>
    <t>Texas Tech</t>
  </si>
  <si>
    <t>Toledo</t>
  </si>
  <si>
    <t>Troy</t>
  </si>
  <si>
    <t>Tulane</t>
  </si>
  <si>
    <t>UCF</t>
  </si>
  <si>
    <t>UCLA</t>
  </si>
  <si>
    <t>UNLV</t>
  </si>
  <si>
    <t>USC</t>
  </si>
  <si>
    <t>Utah</t>
  </si>
  <si>
    <t>Utah St</t>
  </si>
  <si>
    <t>UTSA</t>
  </si>
  <si>
    <t>Virginia Tech</t>
  </si>
  <si>
    <t>Washington</t>
  </si>
  <si>
    <t>West Virginia</t>
  </si>
  <si>
    <t>Western Kentucky</t>
  </si>
  <si>
    <t>Wisconsin</t>
  </si>
  <si>
    <t>Wyoming</t>
  </si>
  <si>
    <t>Conference</t>
  </si>
  <si>
    <t>Record</t>
  </si>
  <si>
    <t>SEC</t>
  </si>
  <si>
    <t>ACC</t>
  </si>
  <si>
    <t>Big Ten</t>
  </si>
  <si>
    <t>14-1</t>
  </si>
  <si>
    <t>13-1</t>
  </si>
  <si>
    <t>15-0</t>
  </si>
  <si>
    <t>13-0</t>
  </si>
  <si>
    <t>14-2</t>
  </si>
  <si>
    <t>Mountain West</t>
  </si>
  <si>
    <t>MAC</t>
  </si>
  <si>
    <t>Sun Belt</t>
  </si>
  <si>
    <t>Big 12</t>
  </si>
  <si>
    <t>American</t>
  </si>
  <si>
    <t>Delaware Blue Hens</t>
  </si>
  <si>
    <t>CUSA</t>
  </si>
  <si>
    <t>Florida International Panthers</t>
  </si>
  <si>
    <t>Miami Hurricanes</t>
  </si>
  <si>
    <t>Missouri State Bears</t>
  </si>
  <si>
    <t>FBS Indep.</t>
  </si>
  <si>
    <t>Pac-12</t>
  </si>
  <si>
    <t>San Jose State Spartans</t>
  </si>
  <si>
    <t>4-8</t>
  </si>
  <si>
    <t>5-7</t>
  </si>
  <si>
    <t>11-4</t>
  </si>
  <si>
    <t>5-8</t>
  </si>
  <si>
    <t>8-5</t>
  </si>
  <si>
    <t>9-4</t>
  </si>
  <si>
    <t>2-10</t>
  </si>
  <si>
    <t>7-6</t>
  </si>
  <si>
    <t>12-2</t>
  </si>
  <si>
    <t>9-5</t>
  </si>
  <si>
    <t>1-11</t>
  </si>
  <si>
    <t>6-7</t>
  </si>
  <si>
    <t>3-9</t>
  </si>
  <si>
    <t>10-3</t>
  </si>
  <si>
    <t>16-0</t>
  </si>
  <si>
    <t>8-4</t>
  </si>
  <si>
    <t>6-6</t>
  </si>
  <si>
    <t>10-4</t>
  </si>
  <si>
    <t>0-12</t>
  </si>
  <si>
    <t>7-7</t>
  </si>
  <si>
    <t>13-3</t>
  </si>
  <si>
    <t>11-2</t>
  </si>
  <si>
    <t>10-2</t>
  </si>
  <si>
    <t>13-2</t>
  </si>
  <si>
    <t>8-6</t>
  </si>
  <si>
    <t>11-3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</si>
</sst>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left"/>
    </xf>
    <xf numFmtId="49" fontId="0" fillId="2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10" fontId="0" fillId="2" borderId="0" xfId="0" applyNumberFormat="1" applyFill="1" applyAlignment="1">
      <alignment horizontal="left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25"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fgColor theme="6" tint="0.79995117038483843"/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7620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B44F2-B665-45CB-8668-32AA138BC639}">
  <sheetPr codeName="Sheet1"/>
  <dimension ref="A1:Z152"/>
  <sheetViews>
    <sheetView tabSelected="1" workbookViewId="0">
      <pane ySplit="1" topLeftCell="A42" activePane="bottomLeft" state="frozen"/>
      <selection pane="bottomLeft" activeCell="J60" sqref="J60"/>
    </sheetView>
  </sheetViews>
  <sheetFormatPr defaultRowHeight="14.4" zeroHeight="1" x14ac:dyDescent="0.3"/>
  <cols>
    <col min="1" max="1" width="12.44140625" style="2" bestFit="1" customWidth="1"/>
    <col min="2" max="2" width="26.109375" style="5" bestFit="1" customWidth="1"/>
    <col min="3" max="3" width="12.88671875" style="5" bestFit="1" customWidth="1"/>
    <col min="4" max="4" width="6.88671875" style="8" bestFit="1" customWidth="1"/>
    <col min="5" max="5" width="7.21875" style="5" bestFit="1" customWidth="1"/>
    <col min="6" max="6" width="5.21875" style="5" bestFit="1" customWidth="1"/>
    <col min="7" max="7" width="7.5546875" style="5" bestFit="1" customWidth="1"/>
    <col min="8" max="8" width="5.88671875" style="5" bestFit="1" customWidth="1"/>
    <col min="9" max="9" width="6.21875" style="5" bestFit="1" customWidth="1"/>
    <col min="10" max="10" width="10.109375" style="5" bestFit="1" customWidth="1"/>
    <col min="11" max="11" width="13.33203125" style="5" bestFit="1" customWidth="1"/>
    <col min="12" max="12" width="10.6640625" style="5" bestFit="1" customWidth="1"/>
    <col min="13" max="13" width="8.6640625" style="5" bestFit="1" customWidth="1"/>
    <col min="14" max="14" width="12.5546875" style="5" bestFit="1" customWidth="1"/>
    <col min="15" max="15" width="8.109375" style="5" bestFit="1" customWidth="1"/>
    <col min="16" max="16" width="7.109375" style="5" bestFit="1" customWidth="1"/>
    <col min="17" max="17" width="12.6640625" style="5" bestFit="1" customWidth="1"/>
    <col min="18" max="18" width="8.77734375" style="5" bestFit="1" customWidth="1"/>
    <col min="19" max="19" width="8.44140625" style="5" bestFit="1" customWidth="1"/>
    <col min="20" max="20" width="7.21875" style="5" bestFit="1" customWidth="1"/>
    <col min="21" max="21" width="8.44140625" style="5" bestFit="1" customWidth="1"/>
    <col min="22" max="22" width="9.21875" style="5" bestFit="1" customWidth="1"/>
    <col min="23" max="23" width="8.33203125" style="5" bestFit="1" customWidth="1"/>
    <col min="24" max="24" width="8.21875" style="5" bestFit="1" customWidth="1"/>
    <col min="25" max="25" width="7.88671875" style="5" bestFit="1" customWidth="1"/>
    <col min="26" max="26" width="6.33203125" style="5" bestFit="1" customWidth="1"/>
    <col min="27" max="16384" width="8.88671875" style="5"/>
  </cols>
  <sheetData>
    <row r="1" spans="1:26" s="11" customFormat="1" x14ac:dyDescent="0.3">
      <c r="A1" s="10"/>
      <c r="B1" s="11" t="s">
        <v>0</v>
      </c>
      <c r="C1" s="11" t="s">
        <v>264</v>
      </c>
      <c r="D1" s="12" t="s">
        <v>265</v>
      </c>
      <c r="E1" s="11" t="s">
        <v>1</v>
      </c>
      <c r="F1" s="11" t="s">
        <v>2</v>
      </c>
      <c r="G1" s="11" t="s">
        <v>3</v>
      </c>
      <c r="H1" s="11" t="s">
        <v>4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9</v>
      </c>
      <c r="N1" s="11" t="s">
        <v>10</v>
      </c>
      <c r="O1" s="11" t="s">
        <v>11</v>
      </c>
      <c r="P1" s="11" t="s">
        <v>12</v>
      </c>
      <c r="Q1" s="11" t="s">
        <v>13</v>
      </c>
      <c r="R1" s="11" t="s">
        <v>14</v>
      </c>
      <c r="S1" s="11" t="s">
        <v>15</v>
      </c>
      <c r="T1" s="11" t="s">
        <v>16</v>
      </c>
      <c r="U1" s="11" t="s">
        <v>17</v>
      </c>
      <c r="V1" s="11" t="s">
        <v>18</v>
      </c>
      <c r="W1" s="11" t="s">
        <v>19</v>
      </c>
      <c r="X1" s="11" t="s">
        <v>20</v>
      </c>
      <c r="Y1" s="11" t="s">
        <v>21</v>
      </c>
      <c r="Z1" s="11" t="s">
        <v>167</v>
      </c>
    </row>
    <row r="2" spans="1:26" x14ac:dyDescent="0.3">
      <c r="B2" s="5" t="s">
        <v>22</v>
      </c>
      <c r="C2" s="5" t="s">
        <v>266</v>
      </c>
      <c r="D2" s="8" t="s">
        <v>269</v>
      </c>
      <c r="E2" s="5">
        <v>27.4</v>
      </c>
      <c r="F2" s="5">
        <v>1</v>
      </c>
      <c r="G2" s="5">
        <v>90</v>
      </c>
      <c r="H2" s="5">
        <v>16</v>
      </c>
      <c r="I2" s="5">
        <v>1</v>
      </c>
      <c r="J2" s="6">
        <v>0.374</v>
      </c>
      <c r="K2" s="6">
        <v>0.28599999999999998</v>
      </c>
      <c r="L2" s="5">
        <v>5.93</v>
      </c>
      <c r="M2" s="5">
        <v>227.1</v>
      </c>
      <c r="N2" s="5">
        <v>200.6</v>
      </c>
      <c r="O2" s="6">
        <v>0.83299999999999996</v>
      </c>
      <c r="P2" s="6">
        <v>0.82299999999999995</v>
      </c>
      <c r="Q2" s="5">
        <v>75.7</v>
      </c>
      <c r="R2" s="5">
        <v>199.9</v>
      </c>
      <c r="S2" s="5">
        <v>15.1</v>
      </c>
      <c r="T2" s="5">
        <v>35.1</v>
      </c>
      <c r="U2" s="5">
        <v>20</v>
      </c>
      <c r="V2" s="5">
        <v>143.44999999999999</v>
      </c>
      <c r="W2" s="5">
        <v>276.3</v>
      </c>
      <c r="X2" s="5">
        <v>427.1</v>
      </c>
      <c r="Y2" s="5">
        <v>0.67</v>
      </c>
      <c r="Z2" s="5">
        <v>3</v>
      </c>
    </row>
    <row r="3" spans="1:26" x14ac:dyDescent="0.3">
      <c r="B3" s="5" t="s">
        <v>23</v>
      </c>
      <c r="C3" s="5" t="s">
        <v>267</v>
      </c>
      <c r="D3" s="8" t="s">
        <v>269</v>
      </c>
      <c r="E3" s="5">
        <v>27.6</v>
      </c>
      <c r="F3" s="5">
        <v>9</v>
      </c>
      <c r="G3" s="5">
        <v>87.1</v>
      </c>
      <c r="H3" s="5">
        <v>3</v>
      </c>
      <c r="I3" s="5">
        <v>8</v>
      </c>
      <c r="J3" s="6">
        <v>0.502</v>
      </c>
      <c r="K3" s="6">
        <v>0.28100000000000003</v>
      </c>
      <c r="L3" s="5">
        <v>6.33</v>
      </c>
      <c r="M3" s="5">
        <v>333.9</v>
      </c>
      <c r="N3" s="5">
        <v>181.9</v>
      </c>
      <c r="O3" s="6">
        <v>0.78900000000000003</v>
      </c>
      <c r="P3" s="6">
        <v>0.84199999999999997</v>
      </c>
      <c r="Q3" s="5">
        <v>129.6</v>
      </c>
      <c r="R3" s="5">
        <v>169.7</v>
      </c>
      <c r="S3" s="5">
        <v>18</v>
      </c>
      <c r="T3" s="5">
        <v>39.200000000000003</v>
      </c>
      <c r="U3" s="5">
        <v>21.2</v>
      </c>
      <c r="V3" s="5">
        <v>152.19</v>
      </c>
      <c r="W3" s="5">
        <v>311.5</v>
      </c>
      <c r="X3" s="5">
        <v>503.7</v>
      </c>
      <c r="Y3" s="5">
        <v>-7.0000000000000007E-2</v>
      </c>
      <c r="Z3" s="5">
        <v>2</v>
      </c>
    </row>
    <row r="4" spans="1:26" x14ac:dyDescent="0.3">
      <c r="B4" s="5" t="s">
        <v>24</v>
      </c>
      <c r="C4" s="5" t="s">
        <v>266</v>
      </c>
      <c r="D4" s="8" t="s">
        <v>270</v>
      </c>
      <c r="E4" s="5">
        <v>28.4</v>
      </c>
      <c r="F4" s="5">
        <v>29</v>
      </c>
      <c r="G4" s="5">
        <v>92.8</v>
      </c>
      <c r="H4" s="5">
        <v>4</v>
      </c>
      <c r="I4" s="5">
        <v>2</v>
      </c>
      <c r="J4" s="6">
        <v>0.40400000000000003</v>
      </c>
      <c r="K4" s="6">
        <v>0.34599999999999997</v>
      </c>
      <c r="L4" s="5">
        <v>5</v>
      </c>
      <c r="M4" s="5">
        <v>193.4</v>
      </c>
      <c r="N4" s="5">
        <v>165.7</v>
      </c>
      <c r="O4" s="6">
        <v>0.75</v>
      </c>
      <c r="P4" s="6">
        <v>0.85299999999999998</v>
      </c>
      <c r="Q4" s="5">
        <v>94.7</v>
      </c>
      <c r="R4" s="5">
        <v>250.6</v>
      </c>
      <c r="S4" s="5">
        <v>11.9</v>
      </c>
      <c r="T4" s="5">
        <v>37.1</v>
      </c>
      <c r="U4" s="5">
        <v>25.2</v>
      </c>
      <c r="V4" s="5">
        <v>155.99</v>
      </c>
      <c r="W4" s="5">
        <v>260.39999999999998</v>
      </c>
      <c r="X4" s="5">
        <v>444.1</v>
      </c>
      <c r="Y4" s="5">
        <v>1</v>
      </c>
      <c r="Z4" s="5">
        <v>1</v>
      </c>
    </row>
    <row r="5" spans="1:26" x14ac:dyDescent="0.3">
      <c r="B5" s="5" t="s">
        <v>25</v>
      </c>
      <c r="C5" s="5" t="s">
        <v>267</v>
      </c>
      <c r="D5" s="8" t="s">
        <v>271</v>
      </c>
      <c r="E5" s="5">
        <v>32.700000000000003</v>
      </c>
      <c r="F5" s="5">
        <v>22</v>
      </c>
      <c r="G5" s="5">
        <v>90.8</v>
      </c>
      <c r="H5" s="5">
        <v>4</v>
      </c>
      <c r="I5" s="5">
        <v>1</v>
      </c>
      <c r="J5" s="6">
        <v>0.46</v>
      </c>
      <c r="K5" s="6">
        <v>0.28499999999999998</v>
      </c>
      <c r="L5" s="5">
        <v>4.87</v>
      </c>
      <c r="M5" s="5">
        <v>279</v>
      </c>
      <c r="N5" s="5">
        <v>189.6</v>
      </c>
      <c r="O5" s="6">
        <v>0.72199999999999998</v>
      </c>
      <c r="P5" s="6">
        <v>0.88</v>
      </c>
      <c r="Q5" s="5">
        <v>96.3</v>
      </c>
      <c r="R5" s="5">
        <v>248.2</v>
      </c>
      <c r="S5" s="5">
        <v>13.1</v>
      </c>
      <c r="T5" s="5">
        <v>44.3</v>
      </c>
      <c r="U5" s="5">
        <v>31.2</v>
      </c>
      <c r="V5" s="5">
        <v>154.65</v>
      </c>
      <c r="W5" s="5">
        <v>285.89999999999998</v>
      </c>
      <c r="X5" s="5">
        <v>527.20000000000005</v>
      </c>
      <c r="Y5" s="5">
        <v>0.47</v>
      </c>
      <c r="Z5" s="5">
        <v>2</v>
      </c>
    </row>
    <row r="6" spans="1:26" x14ac:dyDescent="0.3">
      <c r="B6" s="5" t="s">
        <v>26</v>
      </c>
      <c r="C6" s="5" t="s">
        <v>266</v>
      </c>
      <c r="D6" s="8" t="s">
        <v>271</v>
      </c>
      <c r="E6" s="5">
        <v>30.3</v>
      </c>
      <c r="F6" s="5">
        <v>3</v>
      </c>
      <c r="G6" s="5">
        <v>95.2</v>
      </c>
      <c r="H6" s="5">
        <v>1</v>
      </c>
      <c r="I6" s="5">
        <v>11</v>
      </c>
      <c r="J6" s="6">
        <v>0.497</v>
      </c>
      <c r="K6" s="6">
        <v>0.29599999999999999</v>
      </c>
      <c r="L6" s="5">
        <v>6.2</v>
      </c>
      <c r="M6" s="5">
        <v>401.6</v>
      </c>
      <c r="N6" s="5">
        <v>222.7</v>
      </c>
      <c r="O6" s="6">
        <v>0.77500000000000002</v>
      </c>
      <c r="P6" s="6">
        <v>0.96</v>
      </c>
      <c r="Q6" s="5">
        <v>120.8</v>
      </c>
      <c r="R6" s="5">
        <v>166.8</v>
      </c>
      <c r="S6" s="5">
        <v>21.9</v>
      </c>
      <c r="T6" s="5">
        <v>48.4</v>
      </c>
      <c r="U6" s="5">
        <v>26.5</v>
      </c>
      <c r="V6" s="5">
        <v>197.41</v>
      </c>
      <c r="W6" s="5">
        <v>343.5</v>
      </c>
      <c r="X6" s="5">
        <v>568.4</v>
      </c>
      <c r="Y6" s="5">
        <v>0.67</v>
      </c>
      <c r="Z6" s="5">
        <v>6</v>
      </c>
    </row>
    <row r="7" spans="1:26" x14ac:dyDescent="0.3">
      <c r="B7" s="5" t="s">
        <v>27</v>
      </c>
      <c r="C7" s="5" t="s">
        <v>266</v>
      </c>
      <c r="D7" s="8" t="s">
        <v>272</v>
      </c>
      <c r="E7" s="5">
        <v>35.9</v>
      </c>
      <c r="F7" s="5">
        <v>6</v>
      </c>
      <c r="G7" s="5">
        <v>96.4</v>
      </c>
      <c r="H7" s="5">
        <v>1</v>
      </c>
      <c r="I7" s="5">
        <v>7</v>
      </c>
      <c r="J7" s="6">
        <v>0.58899999999999997</v>
      </c>
      <c r="K7" s="6">
        <v>0.371</v>
      </c>
      <c r="L7" s="5">
        <v>6</v>
      </c>
      <c r="M7" s="5">
        <v>358.2</v>
      </c>
      <c r="N7" s="5">
        <v>239.2</v>
      </c>
      <c r="O7" s="6">
        <v>0.74399999999999999</v>
      </c>
      <c r="P7" s="6">
        <v>0.92600000000000005</v>
      </c>
      <c r="Q7" s="5">
        <v>113.1</v>
      </c>
      <c r="R7" s="5">
        <v>183.5</v>
      </c>
      <c r="S7" s="5">
        <v>19.399999999999999</v>
      </c>
      <c r="T7" s="5">
        <v>48.5</v>
      </c>
      <c r="U7" s="5">
        <v>29.1</v>
      </c>
      <c r="V7" s="5">
        <v>198.99</v>
      </c>
      <c r="W7" s="5">
        <v>352.2</v>
      </c>
      <c r="X7" s="5">
        <v>541.6</v>
      </c>
      <c r="Y7" s="5">
        <v>0.77</v>
      </c>
      <c r="Z7" s="5">
        <v>3</v>
      </c>
    </row>
    <row r="8" spans="1:26" x14ac:dyDescent="0.3">
      <c r="B8" s="5" t="s">
        <v>28</v>
      </c>
      <c r="C8" s="5" t="s">
        <v>266</v>
      </c>
      <c r="D8" s="8" t="s">
        <v>269</v>
      </c>
      <c r="E8" s="5">
        <v>30</v>
      </c>
      <c r="F8" s="5">
        <v>3</v>
      </c>
      <c r="G8" s="5">
        <v>95.7</v>
      </c>
      <c r="H8" s="5">
        <v>2</v>
      </c>
      <c r="I8" s="5">
        <v>1</v>
      </c>
      <c r="J8" s="6">
        <v>0.44800000000000001</v>
      </c>
      <c r="K8" s="6">
        <v>0.35599999999999998</v>
      </c>
      <c r="L8" s="5">
        <v>5.13</v>
      </c>
      <c r="M8" s="5">
        <v>251.9</v>
      </c>
      <c r="N8" s="5">
        <v>190.1</v>
      </c>
      <c r="O8" s="6">
        <v>0.625</v>
      </c>
      <c r="P8" s="6">
        <v>0.84299999999999997</v>
      </c>
      <c r="Q8" s="5">
        <v>78.900000000000006</v>
      </c>
      <c r="R8" s="5">
        <v>190.9</v>
      </c>
      <c r="S8" s="5">
        <v>10.199999999999999</v>
      </c>
      <c r="T8" s="5">
        <v>38.4</v>
      </c>
      <c r="U8" s="5">
        <v>28.2</v>
      </c>
      <c r="V8" s="5">
        <v>168.56</v>
      </c>
      <c r="W8" s="5">
        <v>268.89999999999998</v>
      </c>
      <c r="X8" s="5">
        <v>442.8</v>
      </c>
      <c r="Y8" s="5">
        <v>0.2</v>
      </c>
      <c r="Z8" s="5">
        <v>5</v>
      </c>
    </row>
    <row r="9" spans="1:26" x14ac:dyDescent="0.3">
      <c r="B9" s="5" t="s">
        <v>29</v>
      </c>
      <c r="C9" s="5" t="s">
        <v>266</v>
      </c>
      <c r="D9" s="8" t="s">
        <v>271</v>
      </c>
      <c r="E9" s="5">
        <v>29.9</v>
      </c>
      <c r="F9" s="5">
        <v>8</v>
      </c>
      <c r="G9" s="5">
        <v>93.5</v>
      </c>
      <c r="H9" s="5">
        <v>2</v>
      </c>
      <c r="I9" s="5">
        <v>2</v>
      </c>
      <c r="J9" s="6">
        <v>0.51100000000000001</v>
      </c>
      <c r="K9" s="6">
        <v>0.26600000000000001</v>
      </c>
      <c r="L9" s="5">
        <v>4.4000000000000004</v>
      </c>
      <c r="M9" s="5">
        <v>295.89999999999998</v>
      </c>
      <c r="N9" s="5">
        <v>219.7</v>
      </c>
      <c r="O9" s="6">
        <v>0.67600000000000005</v>
      </c>
      <c r="P9" s="6">
        <v>0.97599999999999998</v>
      </c>
      <c r="Q9" s="5">
        <v>77.099999999999994</v>
      </c>
      <c r="R9" s="5">
        <v>205.3</v>
      </c>
      <c r="S9" s="5">
        <v>14.3</v>
      </c>
      <c r="T9" s="5">
        <v>41.1</v>
      </c>
      <c r="U9" s="5">
        <v>26.8</v>
      </c>
      <c r="V9" s="5">
        <v>162.01</v>
      </c>
      <c r="W9" s="5">
        <v>296.8</v>
      </c>
      <c r="X9" s="5">
        <v>501.2</v>
      </c>
      <c r="Y9" s="5">
        <v>7.0000000000000007E-2</v>
      </c>
      <c r="Z9" s="5">
        <v>3</v>
      </c>
    </row>
    <row r="10" spans="1:26" x14ac:dyDescent="0.3">
      <c r="B10" s="5" t="s">
        <v>30</v>
      </c>
      <c r="C10" s="5" t="s">
        <v>268</v>
      </c>
      <c r="D10" s="8" t="s">
        <v>271</v>
      </c>
      <c r="E10" s="5">
        <v>28.4</v>
      </c>
      <c r="F10" s="5">
        <v>7</v>
      </c>
      <c r="G10" s="5">
        <v>94.2</v>
      </c>
      <c r="H10" s="5">
        <v>4</v>
      </c>
      <c r="I10" s="5">
        <v>1</v>
      </c>
      <c r="J10" s="6">
        <v>0.42799999999999999</v>
      </c>
      <c r="K10" s="6">
        <v>0.29099999999999998</v>
      </c>
      <c r="L10" s="5">
        <v>3</v>
      </c>
      <c r="M10" s="5">
        <v>213.7</v>
      </c>
      <c r="N10" s="5">
        <v>157</v>
      </c>
      <c r="O10" s="6">
        <v>0.72</v>
      </c>
      <c r="P10" s="6">
        <v>0.89400000000000002</v>
      </c>
      <c r="Q10" s="5">
        <v>90</v>
      </c>
      <c r="R10" s="5">
        <v>169.1</v>
      </c>
      <c r="S10" s="5">
        <v>10.4</v>
      </c>
      <c r="T10" s="5">
        <v>35.9</v>
      </c>
      <c r="U10" s="5">
        <v>25.5</v>
      </c>
      <c r="V10" s="5">
        <v>165.77</v>
      </c>
      <c r="W10" s="5">
        <v>247</v>
      </c>
      <c r="X10" s="5">
        <v>382.7</v>
      </c>
      <c r="Y10" s="5">
        <v>1.27</v>
      </c>
      <c r="Z10" s="5">
        <v>2</v>
      </c>
    </row>
    <row r="11" spans="1:26" x14ac:dyDescent="0.3">
      <c r="B11" s="5" t="s">
        <v>31</v>
      </c>
      <c r="C11" s="5" t="s">
        <v>268</v>
      </c>
      <c r="D11" s="8" t="s">
        <v>273</v>
      </c>
      <c r="E11" s="5">
        <v>27.9</v>
      </c>
      <c r="F11" s="5">
        <v>2</v>
      </c>
      <c r="G11" s="5">
        <v>91.8</v>
      </c>
      <c r="H11" s="5">
        <v>1</v>
      </c>
      <c r="I11" s="5">
        <v>3</v>
      </c>
      <c r="J11" s="6">
        <v>0.438</v>
      </c>
      <c r="K11" s="6">
        <v>0.35099999999999998</v>
      </c>
      <c r="L11" s="5">
        <v>4.5</v>
      </c>
      <c r="M11" s="5">
        <v>263</v>
      </c>
      <c r="N11" s="5">
        <v>167</v>
      </c>
      <c r="O11" s="6">
        <v>0.60499999999999998</v>
      </c>
      <c r="P11" s="6">
        <v>0.88700000000000001</v>
      </c>
      <c r="Q11" s="5">
        <v>87.6</v>
      </c>
      <c r="R11" s="5">
        <v>166.4</v>
      </c>
      <c r="S11" s="5">
        <v>12.9</v>
      </c>
      <c r="T11" s="5">
        <v>35.700000000000003</v>
      </c>
      <c r="U11" s="5">
        <v>22.8</v>
      </c>
      <c r="V11" s="5">
        <v>171.55</v>
      </c>
      <c r="W11" s="5">
        <v>254.6</v>
      </c>
      <c r="X11" s="5">
        <v>429.4</v>
      </c>
      <c r="Y11" s="5">
        <v>0.19</v>
      </c>
      <c r="Z11" s="5">
        <v>2</v>
      </c>
    </row>
    <row r="12" spans="1:26" s="4" customFormat="1" x14ac:dyDescent="0.3">
      <c r="A12" s="4" t="s">
        <v>32</v>
      </c>
      <c r="D12" s="7"/>
      <c r="E12" s="4">
        <f>MIN(E2:E11)</f>
        <v>27.4</v>
      </c>
      <c r="F12" s="4">
        <f>MAX(F2:F11)</f>
        <v>29</v>
      </c>
      <c r="G12" s="4">
        <f>MIN(G2:G11)</f>
        <v>87.1</v>
      </c>
      <c r="H12" s="4">
        <f>MAX(H2:H11)</f>
        <v>16</v>
      </c>
      <c r="I12" s="4">
        <f>MAX(I2:I11)</f>
        <v>11</v>
      </c>
      <c r="J12" s="9">
        <f>MIN(J2:J11)</f>
        <v>0.374</v>
      </c>
      <c r="K12" s="9">
        <f>MAX(K2:K11)</f>
        <v>0.371</v>
      </c>
      <c r="L12" s="4">
        <f>MAX(L2:L11)</f>
        <v>6.33</v>
      </c>
      <c r="M12" s="4">
        <f>MIN(M2:M11)</f>
        <v>193.4</v>
      </c>
      <c r="N12" s="4">
        <f>MAX(N2:N11)</f>
        <v>239.2</v>
      </c>
      <c r="O12" s="9">
        <f>MAX(O2:O11)</f>
        <v>0.83299999999999996</v>
      </c>
      <c r="P12" s="9">
        <f>MIN(P2:P11)</f>
        <v>0.82299999999999995</v>
      </c>
      <c r="Q12" s="4">
        <f>MAX(Q2:Q11)</f>
        <v>129.6</v>
      </c>
      <c r="R12" s="4">
        <f>MIN(R2:R11)</f>
        <v>166.4</v>
      </c>
      <c r="S12" s="4">
        <f>MAX(S2:S11)</f>
        <v>21.9</v>
      </c>
      <c r="T12" s="4">
        <f>MIN(T2:T11)</f>
        <v>35.1</v>
      </c>
      <c r="U12" s="4">
        <f>MIN(U2:U11)</f>
        <v>20</v>
      </c>
      <c r="V12" s="4">
        <f>MIN(V2:V11)</f>
        <v>143.44999999999999</v>
      </c>
      <c r="W12" s="4">
        <f>MAX(W2:W11)</f>
        <v>352.2</v>
      </c>
      <c r="X12" s="4">
        <f>MIN(X2:X11)</f>
        <v>382.7</v>
      </c>
      <c r="Y12" s="4">
        <f>MIN(Y2:Y11)</f>
        <v>-7.0000000000000007E-2</v>
      </c>
      <c r="Z12" s="4">
        <f>MAX(Z2:Z11)</f>
        <v>6</v>
      </c>
    </row>
    <row r="13" spans="1:26" x14ac:dyDescent="0.3">
      <c r="A13" s="2" cm="1">
        <f t="array" ref="A13">CountByColumnLogic(E13:Z13)</f>
        <v>15</v>
      </c>
      <c r="B13" s="5" t="s">
        <v>33</v>
      </c>
      <c r="C13" s="5" t="s">
        <v>274</v>
      </c>
      <c r="D13" s="8" t="s">
        <v>287</v>
      </c>
      <c r="E13" s="5">
        <v>-8.4</v>
      </c>
      <c r="F13" s="5">
        <v>123</v>
      </c>
      <c r="G13" s="5">
        <v>34.299999999999997</v>
      </c>
      <c r="H13" s="5">
        <v>38</v>
      </c>
      <c r="I13" s="5">
        <v>135</v>
      </c>
      <c r="J13" s="6">
        <v>0.5</v>
      </c>
      <c r="K13" s="6">
        <v>0.52380000000000004</v>
      </c>
      <c r="L13" s="5">
        <v>3.5</v>
      </c>
      <c r="M13" s="5">
        <v>143.9</v>
      </c>
      <c r="N13" s="5">
        <v>273.39999999999998</v>
      </c>
      <c r="O13" s="6">
        <v>0.878</v>
      </c>
      <c r="P13" s="6">
        <v>0.89580000000000004</v>
      </c>
      <c r="Q13" s="5">
        <v>164.1</v>
      </c>
      <c r="R13" s="5">
        <v>261</v>
      </c>
      <c r="S13" s="5">
        <v>31.9</v>
      </c>
      <c r="T13" s="5">
        <v>28.1</v>
      </c>
      <c r="U13" s="5">
        <v>-3.8</v>
      </c>
      <c r="V13" s="5">
        <v>158.9</v>
      </c>
      <c r="W13" s="5">
        <v>437.5</v>
      </c>
      <c r="X13" s="5">
        <v>404.9</v>
      </c>
      <c r="Y13" s="5">
        <v>-0.4</v>
      </c>
    </row>
    <row r="14" spans="1:26" x14ac:dyDescent="0.3">
      <c r="A14" s="2" cm="1">
        <f t="array" ref="A14">CountByColumnLogic(E14:Z14)</f>
        <v>16</v>
      </c>
      <c r="B14" s="5" t="s">
        <v>34</v>
      </c>
      <c r="C14" s="5" t="s">
        <v>275</v>
      </c>
      <c r="D14" s="8" t="s">
        <v>288</v>
      </c>
      <c r="E14" s="5">
        <v>-17.600000000000001</v>
      </c>
      <c r="F14" s="5">
        <v>130</v>
      </c>
      <c r="G14" s="5">
        <v>22.3</v>
      </c>
      <c r="H14" s="5">
        <v>122</v>
      </c>
      <c r="I14" s="5">
        <v>98</v>
      </c>
      <c r="J14" s="6">
        <v>0.29749999999999999</v>
      </c>
      <c r="K14" s="6">
        <v>0.3478</v>
      </c>
      <c r="L14" s="5">
        <v>5.8</v>
      </c>
      <c r="M14" s="5">
        <v>216.3</v>
      </c>
      <c r="N14" s="5">
        <v>245.3</v>
      </c>
      <c r="O14" s="6">
        <v>0.77780000000000005</v>
      </c>
      <c r="P14" s="6">
        <v>0.75</v>
      </c>
      <c r="Q14" s="5">
        <v>153.30000000000001</v>
      </c>
      <c r="R14" s="5">
        <v>124.6</v>
      </c>
      <c r="S14" s="5">
        <v>29.3</v>
      </c>
      <c r="T14" s="5">
        <v>19.600000000000001</v>
      </c>
      <c r="U14" s="5">
        <v>-9.6</v>
      </c>
      <c r="V14" s="5">
        <v>117.3</v>
      </c>
      <c r="W14" s="5">
        <v>398.5</v>
      </c>
      <c r="X14" s="5">
        <v>340.9</v>
      </c>
      <c r="Y14" s="5">
        <v>0.1</v>
      </c>
    </row>
    <row r="15" spans="1:26" x14ac:dyDescent="0.3">
      <c r="A15" s="2" cm="1">
        <f t="array" ref="A15">CountByColumnLogic(E15:Z15)</f>
        <v>9</v>
      </c>
      <c r="B15" s="5" t="s">
        <v>35</v>
      </c>
      <c r="C15" s="5" t="s">
        <v>266</v>
      </c>
      <c r="D15" s="8" t="s">
        <v>289</v>
      </c>
      <c r="E15" s="5">
        <v>19</v>
      </c>
      <c r="F15" s="5">
        <v>2</v>
      </c>
      <c r="G15" s="5">
        <v>80.599999999999994</v>
      </c>
      <c r="H15" s="5">
        <v>18</v>
      </c>
      <c r="I15" s="5">
        <v>9</v>
      </c>
      <c r="J15" s="6">
        <v>0.39900000000000002</v>
      </c>
      <c r="K15" s="6">
        <v>0.38740000000000002</v>
      </c>
      <c r="L15" s="5">
        <v>4.5</v>
      </c>
      <c r="M15" s="5">
        <v>263.10000000000002</v>
      </c>
      <c r="N15" s="5">
        <v>180.6</v>
      </c>
      <c r="O15" s="6">
        <v>0.79490000000000005</v>
      </c>
      <c r="P15" s="6">
        <v>0.9</v>
      </c>
      <c r="Q15" s="5">
        <v>135</v>
      </c>
      <c r="R15" s="5">
        <v>92.6</v>
      </c>
      <c r="S15" s="5">
        <v>20.6</v>
      </c>
      <c r="T15" s="5">
        <v>27.6</v>
      </c>
      <c r="U15" s="5">
        <v>7.1</v>
      </c>
      <c r="V15" s="5">
        <v>147.9</v>
      </c>
      <c r="W15" s="5">
        <v>315.60000000000002</v>
      </c>
      <c r="X15" s="5">
        <v>355.6</v>
      </c>
      <c r="Y15" s="5">
        <v>0.6</v>
      </c>
    </row>
    <row r="16" spans="1:26" x14ac:dyDescent="0.3">
      <c r="A16" s="2" cm="1">
        <f t="array" ref="A16">CountByColumnLogic(E16:Z16)</f>
        <v>19</v>
      </c>
      <c r="B16" s="5" t="s">
        <v>36</v>
      </c>
      <c r="C16" s="5" t="s">
        <v>276</v>
      </c>
      <c r="D16" s="8" t="s">
        <v>290</v>
      </c>
      <c r="E16" s="5">
        <v>-13.3</v>
      </c>
      <c r="F16" s="5">
        <v>116</v>
      </c>
      <c r="G16" s="5">
        <v>26.4</v>
      </c>
      <c r="H16" s="5">
        <v>108</v>
      </c>
      <c r="I16" s="5">
        <v>115</v>
      </c>
      <c r="J16" s="6">
        <v>0.31790000000000002</v>
      </c>
      <c r="K16" s="6">
        <v>0.45240000000000002</v>
      </c>
      <c r="L16" s="5">
        <v>6.6</v>
      </c>
      <c r="M16" s="5">
        <v>253.5</v>
      </c>
      <c r="N16" s="5">
        <v>272.2</v>
      </c>
      <c r="O16" s="6">
        <v>0.83640000000000003</v>
      </c>
      <c r="P16" s="6">
        <v>0.85109999999999997</v>
      </c>
      <c r="Q16" s="5">
        <v>161.69999999999999</v>
      </c>
      <c r="R16" s="5">
        <v>120.8</v>
      </c>
      <c r="S16" s="5">
        <v>31.2</v>
      </c>
      <c r="T16" s="5">
        <v>24.5</v>
      </c>
      <c r="U16" s="5">
        <v>-6.7</v>
      </c>
      <c r="V16" s="5">
        <v>121.7</v>
      </c>
      <c r="W16" s="5">
        <v>433.8</v>
      </c>
      <c r="X16" s="5">
        <v>374.3</v>
      </c>
      <c r="Y16" s="5">
        <v>-0.1</v>
      </c>
    </row>
    <row r="17" spans="1:25" x14ac:dyDescent="0.3">
      <c r="A17" s="2" cm="1">
        <f t="array" ref="A17">CountByColumnLogic(E17:Z17)</f>
        <v>15</v>
      </c>
      <c r="B17" s="5" t="s">
        <v>37</v>
      </c>
      <c r="C17" s="5" t="s">
        <v>277</v>
      </c>
      <c r="D17" s="8" t="s">
        <v>291</v>
      </c>
      <c r="E17" s="5">
        <v>6.3</v>
      </c>
      <c r="F17" s="5">
        <v>43</v>
      </c>
      <c r="G17" s="5">
        <v>59.5</v>
      </c>
      <c r="H17" s="5">
        <v>63</v>
      </c>
      <c r="I17" s="5">
        <v>33</v>
      </c>
      <c r="J17" s="6">
        <v>0.33900000000000002</v>
      </c>
      <c r="K17" s="6">
        <v>0.3785</v>
      </c>
      <c r="L17" s="5">
        <v>6.8</v>
      </c>
      <c r="M17" s="5">
        <v>220.9</v>
      </c>
      <c r="N17" s="5">
        <v>232.8</v>
      </c>
      <c r="O17" s="6">
        <v>0.75</v>
      </c>
      <c r="P17" s="6">
        <v>0.76190000000000002</v>
      </c>
      <c r="Q17" s="5">
        <v>127.3</v>
      </c>
      <c r="R17" s="5">
        <v>193.1</v>
      </c>
      <c r="S17" s="5">
        <v>24.9</v>
      </c>
      <c r="T17" s="5">
        <v>24.8</v>
      </c>
      <c r="U17" s="5">
        <v>-0.2</v>
      </c>
      <c r="V17" s="5">
        <v>126.2</v>
      </c>
      <c r="W17" s="5">
        <v>360</v>
      </c>
      <c r="X17" s="5">
        <v>414</v>
      </c>
      <c r="Y17" s="5">
        <v>-0.5</v>
      </c>
    </row>
    <row r="18" spans="1:25" x14ac:dyDescent="0.3">
      <c r="A18" s="2" cm="1">
        <f t="array" ref="A18">CountByColumnLogic(E18:Z18)</f>
        <v>12</v>
      </c>
      <c r="B18" s="5" t="s">
        <v>38</v>
      </c>
      <c r="C18" s="5" t="s">
        <v>277</v>
      </c>
      <c r="D18" s="8" t="s">
        <v>292</v>
      </c>
      <c r="E18" s="5">
        <v>10.1</v>
      </c>
      <c r="F18" s="5">
        <v>63</v>
      </c>
      <c r="G18" s="5">
        <v>70.900000000000006</v>
      </c>
      <c r="H18" s="5">
        <v>32</v>
      </c>
      <c r="I18" s="5">
        <v>30</v>
      </c>
      <c r="J18" s="6">
        <v>0.40479999999999999</v>
      </c>
      <c r="K18" s="6">
        <v>0.35470000000000002</v>
      </c>
      <c r="L18" s="5">
        <v>5.3</v>
      </c>
      <c r="M18" s="5">
        <v>242.7</v>
      </c>
      <c r="N18" s="5">
        <v>173.4</v>
      </c>
      <c r="O18" s="6">
        <v>0.86839999999999995</v>
      </c>
      <c r="P18" s="6">
        <v>0.74470000000000003</v>
      </c>
      <c r="Q18" s="5">
        <v>145.5</v>
      </c>
      <c r="R18" s="5">
        <v>152.6</v>
      </c>
      <c r="S18" s="5">
        <v>20.7</v>
      </c>
      <c r="T18" s="5">
        <v>30.2</v>
      </c>
      <c r="U18" s="5">
        <v>9.5</v>
      </c>
      <c r="V18" s="5">
        <v>135.80000000000001</v>
      </c>
      <c r="W18" s="5">
        <v>318.89999999999998</v>
      </c>
      <c r="X18" s="5">
        <v>395.3</v>
      </c>
      <c r="Y18" s="5">
        <v>1.3</v>
      </c>
    </row>
    <row r="19" spans="1:25" x14ac:dyDescent="0.3">
      <c r="A19" s="2" cm="1">
        <f t="array" ref="A19">CountByColumnLogic(E19:Z19)</f>
        <v>14</v>
      </c>
      <c r="B19" s="5" t="s">
        <v>39</v>
      </c>
      <c r="C19" s="5" t="s">
        <v>266</v>
      </c>
      <c r="D19" s="8" t="s">
        <v>293</v>
      </c>
      <c r="E19" s="5">
        <v>6.6</v>
      </c>
      <c r="F19" s="5">
        <v>8</v>
      </c>
      <c r="G19" s="5">
        <v>55.8</v>
      </c>
      <c r="H19" s="5">
        <v>14</v>
      </c>
      <c r="I19" s="5">
        <v>107</v>
      </c>
      <c r="J19" s="6">
        <v>0.45669999999999999</v>
      </c>
      <c r="K19" s="6">
        <v>0.4748</v>
      </c>
      <c r="L19" s="5">
        <v>8.1999999999999993</v>
      </c>
      <c r="M19" s="5">
        <v>254.3</v>
      </c>
      <c r="N19" s="5">
        <v>245.9</v>
      </c>
      <c r="O19" s="6">
        <v>0.88460000000000005</v>
      </c>
      <c r="P19" s="6">
        <v>0.90700000000000003</v>
      </c>
      <c r="Q19" s="5">
        <v>197.3</v>
      </c>
      <c r="R19" s="5">
        <v>191.7</v>
      </c>
      <c r="S19" s="5">
        <v>36.299999999999997</v>
      </c>
      <c r="T19" s="5">
        <v>31.2</v>
      </c>
      <c r="U19" s="5">
        <v>-5.0999999999999996</v>
      </c>
      <c r="V19" s="5">
        <v>135.5</v>
      </c>
      <c r="W19" s="5">
        <v>443.2</v>
      </c>
      <c r="X19" s="5">
        <v>446</v>
      </c>
      <c r="Y19" s="5">
        <v>-1.2</v>
      </c>
    </row>
    <row r="20" spans="1:25" x14ac:dyDescent="0.3">
      <c r="A20" s="2" cm="1">
        <f t="array" ref="A20">CountByColumnLogic(E20:Z20)</f>
        <v>17</v>
      </c>
      <c r="B20" s="5" t="s">
        <v>40</v>
      </c>
      <c r="C20" s="5" t="s">
        <v>276</v>
      </c>
      <c r="D20" s="8" t="s">
        <v>294</v>
      </c>
      <c r="E20" s="5">
        <v>-9.6</v>
      </c>
      <c r="F20" s="5">
        <v>128</v>
      </c>
      <c r="G20" s="5">
        <v>34.299999999999997</v>
      </c>
      <c r="H20" s="5">
        <v>109</v>
      </c>
      <c r="I20" s="5">
        <v>91</v>
      </c>
      <c r="J20" s="6">
        <v>0.38379999999999997</v>
      </c>
      <c r="K20" s="6">
        <v>0.41210000000000002</v>
      </c>
      <c r="L20" s="5">
        <v>6.3</v>
      </c>
      <c r="M20" s="5">
        <v>252.4</v>
      </c>
      <c r="N20" s="5">
        <v>242.7</v>
      </c>
      <c r="O20" s="6">
        <v>0.82930000000000004</v>
      </c>
      <c r="P20" s="6">
        <v>0.80389999999999995</v>
      </c>
      <c r="Q20" s="5">
        <v>176.2</v>
      </c>
      <c r="R20" s="5">
        <v>121.6</v>
      </c>
      <c r="S20" s="5">
        <v>27.7</v>
      </c>
      <c r="T20" s="5">
        <v>23.8</v>
      </c>
      <c r="U20" s="5">
        <v>-3.9</v>
      </c>
      <c r="V20" s="5">
        <v>124.9</v>
      </c>
      <c r="W20" s="5">
        <v>418.8</v>
      </c>
      <c r="X20" s="5">
        <v>374</v>
      </c>
      <c r="Y20" s="5">
        <v>-0.7</v>
      </c>
    </row>
    <row r="21" spans="1:25" x14ac:dyDescent="0.3">
      <c r="A21" s="2" cm="1">
        <f t="array" ref="A21">CountByColumnLogic(E21:Z21)</f>
        <v>12</v>
      </c>
      <c r="B21" s="5" t="s">
        <v>41</v>
      </c>
      <c r="C21" s="5" t="s">
        <v>278</v>
      </c>
      <c r="D21" s="8" t="s">
        <v>294</v>
      </c>
      <c r="E21" s="5">
        <v>-2.7</v>
      </c>
      <c r="F21" s="5">
        <v>85</v>
      </c>
      <c r="G21" s="5">
        <v>49.1</v>
      </c>
      <c r="H21" s="5">
        <v>79</v>
      </c>
      <c r="I21" s="5">
        <v>66</v>
      </c>
      <c r="J21" s="6">
        <v>0.41520000000000001</v>
      </c>
      <c r="K21" s="6">
        <v>0.46260000000000001</v>
      </c>
      <c r="L21" s="5">
        <v>2.4</v>
      </c>
      <c r="M21" s="5">
        <v>76.7</v>
      </c>
      <c r="N21" s="5">
        <v>193.6</v>
      </c>
      <c r="O21" s="6">
        <v>0.81579999999999997</v>
      </c>
      <c r="P21" s="6">
        <v>0.91180000000000005</v>
      </c>
      <c r="Q21" s="5">
        <v>149.9</v>
      </c>
      <c r="R21" s="5">
        <v>253.1</v>
      </c>
      <c r="S21" s="5">
        <v>20.9</v>
      </c>
      <c r="T21" s="5">
        <v>23.6</v>
      </c>
      <c r="U21" s="5">
        <v>2.7</v>
      </c>
      <c r="V21" s="5">
        <v>135.6</v>
      </c>
      <c r="W21" s="5">
        <v>343.5</v>
      </c>
      <c r="X21" s="5">
        <v>329.8</v>
      </c>
      <c r="Y21" s="5">
        <v>0.7</v>
      </c>
    </row>
    <row r="22" spans="1:25" x14ac:dyDescent="0.3">
      <c r="A22" s="2" cm="1">
        <f t="array" ref="A22">CountByColumnLogic(E22:Z22)</f>
        <v>11</v>
      </c>
      <c r="B22" s="5" t="s">
        <v>42</v>
      </c>
      <c r="C22" s="5" t="s">
        <v>266</v>
      </c>
      <c r="D22" s="8" t="s">
        <v>288</v>
      </c>
      <c r="E22" s="5">
        <v>11.1</v>
      </c>
      <c r="F22" s="5">
        <v>15</v>
      </c>
      <c r="G22" s="5">
        <v>68.7</v>
      </c>
      <c r="H22" s="5">
        <v>47</v>
      </c>
      <c r="I22" s="5">
        <v>29</v>
      </c>
      <c r="J22" s="6">
        <v>0.37419999999999998</v>
      </c>
      <c r="K22" s="6">
        <v>0.34439999999999998</v>
      </c>
      <c r="L22" s="5">
        <v>8.1</v>
      </c>
      <c r="M22" s="5">
        <v>190.5</v>
      </c>
      <c r="N22" s="5">
        <v>230.5</v>
      </c>
      <c r="O22" s="6">
        <v>0.86839999999999995</v>
      </c>
      <c r="P22" s="6">
        <v>0.8649</v>
      </c>
      <c r="Q22" s="5">
        <v>97.9</v>
      </c>
      <c r="R22" s="5">
        <v>167.7</v>
      </c>
      <c r="S22" s="5">
        <v>21</v>
      </c>
      <c r="T22" s="5">
        <v>23.5</v>
      </c>
      <c r="U22" s="5">
        <v>2.5</v>
      </c>
      <c r="V22" s="5">
        <v>118.9</v>
      </c>
      <c r="W22" s="5">
        <v>328.4</v>
      </c>
      <c r="X22" s="5">
        <v>358.2</v>
      </c>
      <c r="Y22" s="5">
        <v>0.5</v>
      </c>
    </row>
    <row r="23" spans="1:25" x14ac:dyDescent="0.3">
      <c r="A23" s="2" cm="1">
        <f t="array" ref="A23">CountByColumnLogic(E23:Z23)</f>
        <v>10</v>
      </c>
      <c r="B23" s="5" t="s">
        <v>49</v>
      </c>
      <c r="C23" s="5" t="s">
        <v>277</v>
      </c>
      <c r="D23" s="8" t="s">
        <v>295</v>
      </c>
      <c r="E23" s="5">
        <v>15.3</v>
      </c>
      <c r="F23" s="5">
        <v>29</v>
      </c>
      <c r="G23" s="5">
        <v>80.8</v>
      </c>
      <c r="H23" s="5">
        <v>19</v>
      </c>
      <c r="I23" s="5">
        <v>14</v>
      </c>
      <c r="J23" s="6">
        <v>0.40350000000000003</v>
      </c>
      <c r="K23" s="6">
        <v>0.3503</v>
      </c>
      <c r="L23" s="5">
        <v>5.4</v>
      </c>
      <c r="M23" s="5">
        <v>227.5</v>
      </c>
      <c r="N23" s="5">
        <v>222.8</v>
      </c>
      <c r="O23" s="6">
        <v>0.70369999999999999</v>
      </c>
      <c r="P23" s="6">
        <v>0.88680000000000003</v>
      </c>
      <c r="Q23" s="5">
        <v>132.5</v>
      </c>
      <c r="R23" s="5">
        <v>156.19999999999999</v>
      </c>
      <c r="S23" s="5">
        <v>20.6</v>
      </c>
      <c r="T23" s="5">
        <v>28.5</v>
      </c>
      <c r="U23" s="5">
        <v>7.9</v>
      </c>
      <c r="V23" s="5">
        <v>134.80000000000001</v>
      </c>
      <c r="W23" s="5">
        <v>355.3</v>
      </c>
      <c r="X23" s="5">
        <v>383.8</v>
      </c>
      <c r="Y23" s="5">
        <v>0.6</v>
      </c>
    </row>
    <row r="24" spans="1:25" x14ac:dyDescent="0.3">
      <c r="A24" s="2" cm="1">
        <f t="array" ref="A24">CountByColumnLogic(E24:Z24)</f>
        <v>18</v>
      </c>
      <c r="B24" s="5" t="s">
        <v>43</v>
      </c>
      <c r="C24" s="5" t="s">
        <v>275</v>
      </c>
      <c r="D24" s="8" t="s">
        <v>287</v>
      </c>
      <c r="E24" s="5">
        <v>-19.399999999999999</v>
      </c>
      <c r="F24" s="5">
        <v>106</v>
      </c>
      <c r="G24" s="5">
        <v>16.5</v>
      </c>
      <c r="H24" s="5">
        <v>126</v>
      </c>
      <c r="I24" s="5">
        <v>118</v>
      </c>
      <c r="J24" s="6">
        <v>0.31290000000000001</v>
      </c>
      <c r="K24" s="6">
        <v>0.41549999999999998</v>
      </c>
      <c r="L24" s="5">
        <v>4.5</v>
      </c>
      <c r="M24" s="5">
        <v>143.1</v>
      </c>
      <c r="N24" s="5">
        <v>223.9</v>
      </c>
      <c r="O24" s="6">
        <v>0.82050000000000001</v>
      </c>
      <c r="P24" s="6">
        <v>0.69230000000000003</v>
      </c>
      <c r="Q24" s="5">
        <v>183.7</v>
      </c>
      <c r="R24" s="5">
        <v>115.7</v>
      </c>
      <c r="S24" s="5">
        <v>29.9</v>
      </c>
      <c r="T24" s="5">
        <v>14.2</v>
      </c>
      <c r="U24" s="5">
        <v>-15.7</v>
      </c>
      <c r="V24" s="5">
        <v>113.8</v>
      </c>
      <c r="W24" s="5">
        <v>407.6</v>
      </c>
      <c r="X24" s="5">
        <v>258.8</v>
      </c>
      <c r="Y24" s="5">
        <v>-0.1</v>
      </c>
    </row>
    <row r="25" spans="1:25" x14ac:dyDescent="0.3">
      <c r="A25" s="2" cm="1">
        <f t="array" ref="A25">CountByColumnLogic(E25:Z25)</f>
        <v>16</v>
      </c>
      <c r="B25" s="5" t="s">
        <v>44</v>
      </c>
      <c r="C25" s="5" t="s">
        <v>277</v>
      </c>
      <c r="D25" s="8" t="s">
        <v>288</v>
      </c>
      <c r="E25" s="5">
        <v>3</v>
      </c>
      <c r="F25" s="5">
        <v>49</v>
      </c>
      <c r="G25" s="5">
        <v>50.1</v>
      </c>
      <c r="H25" s="5">
        <v>39</v>
      </c>
      <c r="I25" s="5">
        <v>108</v>
      </c>
      <c r="J25" s="6">
        <v>0.3836</v>
      </c>
      <c r="K25" s="6">
        <v>0.42359999999999998</v>
      </c>
      <c r="L25" s="5">
        <v>6.2</v>
      </c>
      <c r="M25" s="5">
        <v>315.5</v>
      </c>
      <c r="N25" s="5">
        <v>203.1</v>
      </c>
      <c r="O25" s="6">
        <v>0.85709999999999997</v>
      </c>
      <c r="P25" s="6">
        <v>0.78259999999999996</v>
      </c>
      <c r="Q25" s="5">
        <v>206.5</v>
      </c>
      <c r="R25" s="5">
        <v>134.1</v>
      </c>
      <c r="S25" s="5">
        <v>34.9</v>
      </c>
      <c r="T25" s="5">
        <v>30.1</v>
      </c>
      <c r="U25" s="5">
        <v>-4.8</v>
      </c>
      <c r="V25" s="5">
        <v>138.4</v>
      </c>
      <c r="W25" s="5">
        <v>409.5</v>
      </c>
      <c r="X25" s="5">
        <v>449.5</v>
      </c>
      <c r="Y25" s="5">
        <v>-1.4</v>
      </c>
    </row>
    <row r="26" spans="1:25" x14ac:dyDescent="0.3">
      <c r="A26" s="2" cm="1">
        <f t="array" ref="A26">CountByColumnLogic(E26:Z26)</f>
        <v>12</v>
      </c>
      <c r="B26" s="5" t="s">
        <v>45</v>
      </c>
      <c r="C26" s="5" t="s">
        <v>274</v>
      </c>
      <c r="D26" s="8" t="s">
        <v>296</v>
      </c>
      <c r="E26" s="5">
        <v>3.6</v>
      </c>
      <c r="F26" s="5">
        <v>69</v>
      </c>
      <c r="G26" s="5">
        <v>56.3</v>
      </c>
      <c r="H26" s="5">
        <v>62</v>
      </c>
      <c r="I26" s="5">
        <v>48</v>
      </c>
      <c r="J26" s="6">
        <v>0.45319999999999999</v>
      </c>
      <c r="K26" s="6">
        <v>0.33729999999999999</v>
      </c>
      <c r="L26" s="5">
        <v>7</v>
      </c>
      <c r="M26" s="5">
        <v>239.9</v>
      </c>
      <c r="N26" s="5">
        <v>175.5</v>
      </c>
      <c r="O26" s="6">
        <v>0.91300000000000003</v>
      </c>
      <c r="P26" s="6">
        <v>0.84440000000000004</v>
      </c>
      <c r="Q26" s="5">
        <v>165.5</v>
      </c>
      <c r="R26" s="5">
        <v>167.7</v>
      </c>
      <c r="S26" s="5">
        <v>24.8</v>
      </c>
      <c r="T26" s="5">
        <v>28.2</v>
      </c>
      <c r="U26" s="5">
        <v>3.4</v>
      </c>
      <c r="V26" s="5">
        <v>126.5</v>
      </c>
      <c r="W26" s="5">
        <v>340.9</v>
      </c>
      <c r="X26" s="5">
        <v>407.6</v>
      </c>
      <c r="Y26" s="5">
        <v>0</v>
      </c>
    </row>
    <row r="27" spans="1:25" x14ac:dyDescent="0.3">
      <c r="A27" s="2" cm="1">
        <f t="array" ref="A27">CountByColumnLogic(E27:Z27)</f>
        <v>19</v>
      </c>
      <c r="B27" s="5" t="s">
        <v>46</v>
      </c>
      <c r="C27" s="5" t="s">
        <v>267</v>
      </c>
      <c r="D27" s="8" t="s">
        <v>293</v>
      </c>
      <c r="E27" s="5">
        <v>-5.2</v>
      </c>
      <c r="F27" s="5">
        <v>54</v>
      </c>
      <c r="G27" s="5">
        <v>35.299999999999997</v>
      </c>
      <c r="H27" s="5">
        <v>76</v>
      </c>
      <c r="I27" s="5">
        <v>114</v>
      </c>
      <c r="J27" s="6">
        <v>0.35370000000000001</v>
      </c>
      <c r="K27" s="6">
        <v>0.43480000000000002</v>
      </c>
      <c r="L27" s="5">
        <v>6.4</v>
      </c>
      <c r="M27" s="5">
        <v>264</v>
      </c>
      <c r="N27" s="5">
        <v>265.10000000000002</v>
      </c>
      <c r="O27" s="6">
        <v>0.88639999999999997</v>
      </c>
      <c r="P27" s="6">
        <v>0.83330000000000004</v>
      </c>
      <c r="Q27" s="5">
        <v>192.3</v>
      </c>
      <c r="R27" s="5">
        <v>104.5</v>
      </c>
      <c r="S27" s="5">
        <v>34.799999999999997</v>
      </c>
      <c r="T27" s="5">
        <v>21.7</v>
      </c>
      <c r="U27" s="5">
        <v>-13.1</v>
      </c>
      <c r="V27" s="5">
        <v>126.6</v>
      </c>
      <c r="W27" s="5">
        <v>457.4</v>
      </c>
      <c r="X27" s="5">
        <v>368.5</v>
      </c>
      <c r="Y27" s="5">
        <v>-0.9</v>
      </c>
    </row>
    <row r="28" spans="1:25" x14ac:dyDescent="0.3">
      <c r="A28" s="2" cm="1">
        <f t="array" ref="A28">CountByColumnLogic(E28:Z28)</f>
        <v>17</v>
      </c>
      <c r="B28" s="5" t="s">
        <v>47</v>
      </c>
      <c r="C28" s="5" t="s">
        <v>275</v>
      </c>
      <c r="D28" s="8" t="s">
        <v>287</v>
      </c>
      <c r="E28" s="5">
        <v>-11.8</v>
      </c>
      <c r="F28" s="5">
        <v>113</v>
      </c>
      <c r="G28" s="5">
        <v>24</v>
      </c>
      <c r="H28" s="5">
        <v>133</v>
      </c>
      <c r="I28" s="5">
        <v>84</v>
      </c>
      <c r="J28" s="6">
        <v>0.3654</v>
      </c>
      <c r="K28" s="6">
        <v>0.34589999999999999</v>
      </c>
      <c r="L28" s="5">
        <v>6.9</v>
      </c>
      <c r="M28" s="5">
        <v>155.1</v>
      </c>
      <c r="N28" s="5">
        <v>209.3</v>
      </c>
      <c r="O28" s="6">
        <v>0.84379999999999999</v>
      </c>
      <c r="P28" s="6">
        <v>0.89290000000000003</v>
      </c>
      <c r="Q28" s="5">
        <v>148.4</v>
      </c>
      <c r="R28" s="5">
        <v>158</v>
      </c>
      <c r="S28" s="5">
        <v>25.8</v>
      </c>
      <c r="T28" s="5">
        <v>20</v>
      </c>
      <c r="U28" s="5">
        <v>-5.8</v>
      </c>
      <c r="V28" s="5">
        <v>118.4</v>
      </c>
      <c r="W28" s="5">
        <v>357.6</v>
      </c>
      <c r="X28" s="5">
        <v>313.10000000000002</v>
      </c>
      <c r="Y28" s="5">
        <v>0.2</v>
      </c>
    </row>
    <row r="29" spans="1:25" x14ac:dyDescent="0.3">
      <c r="A29" s="2" cm="1">
        <f t="array" ref="A29">CountByColumnLogic(E29:Z29)</f>
        <v>16</v>
      </c>
      <c r="B29" s="5" t="s">
        <v>48</v>
      </c>
      <c r="C29" s="5" t="s">
        <v>275</v>
      </c>
      <c r="D29" s="8" t="s">
        <v>288</v>
      </c>
      <c r="E29" s="5">
        <v>-13.3</v>
      </c>
      <c r="F29" s="5">
        <v>136</v>
      </c>
      <c r="G29" s="5">
        <v>24.7</v>
      </c>
      <c r="H29" s="5">
        <v>132</v>
      </c>
      <c r="I29" s="5">
        <v>83</v>
      </c>
      <c r="J29" s="6">
        <v>0.32500000000000001</v>
      </c>
      <c r="K29" s="6">
        <v>0.3503</v>
      </c>
      <c r="L29" s="5">
        <v>5.6</v>
      </c>
      <c r="M29" s="5">
        <v>237.7</v>
      </c>
      <c r="N29" s="5">
        <v>192.9</v>
      </c>
      <c r="O29" s="6">
        <v>0.81820000000000004</v>
      </c>
      <c r="P29" s="6">
        <v>0.82140000000000002</v>
      </c>
      <c r="Q29" s="5">
        <v>171.1</v>
      </c>
      <c r="R29" s="5">
        <v>111.6</v>
      </c>
      <c r="S29" s="5">
        <v>25.1</v>
      </c>
      <c r="T29" s="5">
        <v>22.1</v>
      </c>
      <c r="U29" s="5">
        <v>-3</v>
      </c>
      <c r="V29" s="5">
        <v>123.2</v>
      </c>
      <c r="W29" s="5">
        <v>364</v>
      </c>
      <c r="X29" s="5">
        <v>349.4</v>
      </c>
      <c r="Y29" s="5">
        <v>-0.5</v>
      </c>
    </row>
    <row r="30" spans="1:25" x14ac:dyDescent="0.3">
      <c r="A30" s="2" cm="1">
        <f t="array" ref="A30">CountByColumnLogic(E30:Z30)</f>
        <v>17</v>
      </c>
      <c r="B30" s="5" t="s">
        <v>50</v>
      </c>
      <c r="C30" s="5" t="s">
        <v>267</v>
      </c>
      <c r="D30" s="8" t="s">
        <v>294</v>
      </c>
      <c r="E30" s="5">
        <v>-3.4</v>
      </c>
      <c r="F30" s="5">
        <v>79</v>
      </c>
      <c r="G30" s="5">
        <v>46</v>
      </c>
      <c r="H30" s="5">
        <v>73</v>
      </c>
      <c r="I30" s="5">
        <v>75</v>
      </c>
      <c r="J30" s="6">
        <v>0.4012</v>
      </c>
      <c r="K30" s="6">
        <v>0.43369999999999997</v>
      </c>
      <c r="L30" s="5">
        <v>7.8</v>
      </c>
      <c r="M30" s="5">
        <v>274.89999999999998</v>
      </c>
      <c r="N30" s="5">
        <v>210.8</v>
      </c>
      <c r="O30" s="6">
        <v>0.84089999999999998</v>
      </c>
      <c r="P30" s="6">
        <v>0.8478</v>
      </c>
      <c r="Q30" s="5">
        <v>165.1</v>
      </c>
      <c r="R30" s="5">
        <v>74.3</v>
      </c>
      <c r="S30" s="5">
        <v>29.2</v>
      </c>
      <c r="T30" s="5">
        <v>24.5</v>
      </c>
      <c r="U30" s="5">
        <v>-4.7</v>
      </c>
      <c r="V30" s="5">
        <v>132.1</v>
      </c>
      <c r="W30" s="5">
        <v>375.9</v>
      </c>
      <c r="X30" s="5">
        <v>349.2</v>
      </c>
      <c r="Y30" s="5">
        <v>-0.1</v>
      </c>
    </row>
    <row r="31" spans="1:25" x14ac:dyDescent="0.3">
      <c r="A31" s="2" cm="1">
        <f t="array" ref="A31">CountByColumnLogic(E31:Z31)</f>
        <v>16</v>
      </c>
      <c r="B31" s="5" t="s">
        <v>51</v>
      </c>
      <c r="C31" s="5" t="s">
        <v>275</v>
      </c>
      <c r="D31" s="8" t="s">
        <v>294</v>
      </c>
      <c r="E31" s="5">
        <v>-11.2</v>
      </c>
      <c r="F31" s="5">
        <v>100</v>
      </c>
      <c r="G31" s="5">
        <v>37.700000000000003</v>
      </c>
      <c r="H31" s="5">
        <v>102</v>
      </c>
      <c r="I31" s="5">
        <v>70</v>
      </c>
      <c r="J31" s="6">
        <v>0.33550000000000002</v>
      </c>
      <c r="K31" s="6">
        <v>0.42770000000000002</v>
      </c>
      <c r="L31" s="5">
        <v>5.8</v>
      </c>
      <c r="M31" s="5">
        <v>158.30000000000001</v>
      </c>
      <c r="N31" s="5">
        <v>223.4</v>
      </c>
      <c r="O31" s="6">
        <v>0.72089999999999999</v>
      </c>
      <c r="P31" s="6">
        <v>0.79490000000000005</v>
      </c>
      <c r="Q31" s="5">
        <v>153.30000000000001</v>
      </c>
      <c r="R31" s="5">
        <v>159.5</v>
      </c>
      <c r="S31" s="5">
        <v>24.7</v>
      </c>
      <c r="T31" s="5">
        <v>20.3</v>
      </c>
      <c r="U31" s="5">
        <v>-4.3</v>
      </c>
      <c r="V31" s="5">
        <v>147.69999999999999</v>
      </c>
      <c r="W31" s="5">
        <v>376.8</v>
      </c>
      <c r="X31" s="5">
        <v>317.8</v>
      </c>
      <c r="Y31" s="5">
        <v>0.6</v>
      </c>
    </row>
    <row r="32" spans="1:25" x14ac:dyDescent="0.3">
      <c r="A32" s="2" cm="1">
        <f t="array" ref="A32">CountByColumnLogic(E32:Z32)</f>
        <v>20</v>
      </c>
      <c r="B32" s="5" t="s">
        <v>52</v>
      </c>
      <c r="C32" s="5" t="s">
        <v>278</v>
      </c>
      <c r="D32" s="8" t="s">
        <v>297</v>
      </c>
      <c r="E32" s="5">
        <v>-21.3</v>
      </c>
      <c r="F32" s="5">
        <v>71</v>
      </c>
      <c r="G32" s="5">
        <v>10</v>
      </c>
      <c r="H32" s="5">
        <v>136</v>
      </c>
      <c r="I32" s="5">
        <v>126</v>
      </c>
      <c r="J32" s="6">
        <v>0.32079999999999997</v>
      </c>
      <c r="K32" s="6">
        <v>0.4375</v>
      </c>
      <c r="L32" s="5">
        <v>5.6</v>
      </c>
      <c r="M32" s="5">
        <v>187.8</v>
      </c>
      <c r="N32" s="5">
        <v>259.10000000000002</v>
      </c>
      <c r="O32" s="6">
        <v>0.84309999999999996</v>
      </c>
      <c r="P32" s="6">
        <v>0.56520000000000004</v>
      </c>
      <c r="Q32" s="5">
        <v>214.3</v>
      </c>
      <c r="R32" s="5">
        <v>72.8</v>
      </c>
      <c r="S32" s="5">
        <v>36.5</v>
      </c>
      <c r="T32" s="5">
        <v>11.8</v>
      </c>
      <c r="U32" s="5">
        <v>-24.6</v>
      </c>
      <c r="V32" s="5">
        <v>110.3</v>
      </c>
      <c r="W32" s="5">
        <v>473.4</v>
      </c>
      <c r="X32" s="5">
        <v>260.60000000000002</v>
      </c>
      <c r="Y32" s="5">
        <v>-0.5</v>
      </c>
    </row>
    <row r="33" spans="1:25" x14ac:dyDescent="0.3">
      <c r="A33" s="2" cm="1">
        <f t="array" ref="A33">CountByColumnLogic(E33:Z33)</f>
        <v>12</v>
      </c>
      <c r="B33" s="5" t="s">
        <v>53</v>
      </c>
      <c r="C33" s="5" t="s">
        <v>277</v>
      </c>
      <c r="D33" s="8" t="s">
        <v>294</v>
      </c>
      <c r="E33" s="5">
        <v>3.7</v>
      </c>
      <c r="F33" s="5">
        <v>58</v>
      </c>
      <c r="G33" s="5">
        <v>61.5</v>
      </c>
      <c r="H33" s="5">
        <v>15</v>
      </c>
      <c r="I33" s="5">
        <v>88</v>
      </c>
      <c r="J33" s="6">
        <v>0.3841</v>
      </c>
      <c r="K33" s="6">
        <v>0.435</v>
      </c>
      <c r="L33" s="5">
        <v>7.2</v>
      </c>
      <c r="M33" s="5">
        <v>220.3</v>
      </c>
      <c r="N33" s="5">
        <v>236</v>
      </c>
      <c r="O33" s="6">
        <v>0.8085</v>
      </c>
      <c r="P33" s="6">
        <v>0.90239999999999998</v>
      </c>
      <c r="Q33" s="5">
        <v>187.6</v>
      </c>
      <c r="R33" s="5">
        <v>170.5</v>
      </c>
      <c r="S33" s="5">
        <v>27.8</v>
      </c>
      <c r="T33" s="5">
        <v>27</v>
      </c>
      <c r="U33" s="5">
        <v>-0.8</v>
      </c>
      <c r="V33" s="5">
        <v>143.69999999999999</v>
      </c>
      <c r="W33" s="5">
        <v>423.6</v>
      </c>
      <c r="X33" s="5">
        <v>390.8</v>
      </c>
      <c r="Y33" s="5">
        <v>-0.4</v>
      </c>
    </row>
    <row r="34" spans="1:25" x14ac:dyDescent="0.3">
      <c r="A34" s="2" cm="1">
        <f t="array" ref="A34">CountByColumnLogic(E34:Z34)</f>
        <v>14</v>
      </c>
      <c r="B34" s="5" t="s">
        <v>54</v>
      </c>
      <c r="C34" s="5" t="s">
        <v>267</v>
      </c>
      <c r="D34" s="8" t="s">
        <v>294</v>
      </c>
      <c r="E34" s="5">
        <v>9.5</v>
      </c>
      <c r="F34" s="5">
        <v>57</v>
      </c>
      <c r="G34" s="5">
        <v>63.7</v>
      </c>
      <c r="H34" s="5">
        <v>48</v>
      </c>
      <c r="I34" s="5">
        <v>39</v>
      </c>
      <c r="J34" s="6">
        <v>0.34360000000000002</v>
      </c>
      <c r="K34" s="6">
        <v>0.32929999999999998</v>
      </c>
      <c r="L34" s="5">
        <v>4.3</v>
      </c>
      <c r="M34" s="5">
        <v>270.3</v>
      </c>
      <c r="N34" s="5">
        <v>255.6</v>
      </c>
      <c r="O34" s="6">
        <v>0.83330000000000004</v>
      </c>
      <c r="P34" s="6">
        <v>0.81079999999999997</v>
      </c>
      <c r="Q34" s="5">
        <v>108.9</v>
      </c>
      <c r="R34" s="5">
        <v>116.6</v>
      </c>
      <c r="S34" s="5">
        <v>21.4</v>
      </c>
      <c r="T34" s="5">
        <v>25.8</v>
      </c>
      <c r="U34" s="5">
        <v>4.3</v>
      </c>
      <c r="V34" s="5">
        <v>137.6</v>
      </c>
      <c r="W34" s="5">
        <v>364.5</v>
      </c>
      <c r="X34" s="5">
        <v>386.9</v>
      </c>
      <c r="Y34" s="5">
        <v>0</v>
      </c>
    </row>
    <row r="35" spans="1:25" x14ac:dyDescent="0.3">
      <c r="A35" s="2" cm="1">
        <f t="array" ref="A35">CountByColumnLogic(E35:Z35)</f>
        <v>19</v>
      </c>
      <c r="B35" s="5" t="s">
        <v>55</v>
      </c>
      <c r="C35" s="5" t="s">
        <v>276</v>
      </c>
      <c r="D35" s="8" t="s">
        <v>298</v>
      </c>
      <c r="E35" s="5">
        <v>-14.2</v>
      </c>
      <c r="F35" s="5">
        <v>87</v>
      </c>
      <c r="G35" s="5">
        <v>30.1</v>
      </c>
      <c r="H35" s="5">
        <v>120</v>
      </c>
      <c r="I35" s="5">
        <v>78</v>
      </c>
      <c r="J35" s="6">
        <v>0.31609999999999999</v>
      </c>
      <c r="K35" s="6">
        <v>0.41039999999999999</v>
      </c>
      <c r="L35" s="5">
        <v>6.8</v>
      </c>
      <c r="M35" s="5">
        <v>172.1</v>
      </c>
      <c r="N35" s="5">
        <v>249.4</v>
      </c>
      <c r="O35" s="6">
        <v>0.86209999999999998</v>
      </c>
      <c r="P35" s="6">
        <v>0.83330000000000004</v>
      </c>
      <c r="Q35" s="5">
        <v>219.1</v>
      </c>
      <c r="R35" s="5">
        <v>147.69999999999999</v>
      </c>
      <c r="S35" s="5">
        <v>35.799999999999997</v>
      </c>
      <c r="T35" s="5">
        <v>22.9</v>
      </c>
      <c r="U35" s="5">
        <v>-12.9</v>
      </c>
      <c r="V35" s="5">
        <v>109.7</v>
      </c>
      <c r="W35" s="5">
        <v>468.5</v>
      </c>
      <c r="X35" s="5">
        <v>319.8</v>
      </c>
      <c r="Y35" s="5">
        <v>0.2</v>
      </c>
    </row>
    <row r="36" spans="1:25" x14ac:dyDescent="0.3">
      <c r="A36" s="2" cm="1">
        <f t="array" ref="A36">CountByColumnLogic(E36:Z36)</f>
        <v>15</v>
      </c>
      <c r="B36" s="5" t="s">
        <v>56</v>
      </c>
      <c r="C36" s="5" t="s">
        <v>277</v>
      </c>
      <c r="D36" s="8" t="s">
        <v>299</v>
      </c>
      <c r="E36" s="5">
        <v>-2.7</v>
      </c>
      <c r="F36" s="5">
        <v>44</v>
      </c>
      <c r="G36" s="5">
        <v>43.3</v>
      </c>
      <c r="H36" s="5">
        <v>72</v>
      </c>
      <c r="I36" s="5">
        <v>77</v>
      </c>
      <c r="J36" s="6">
        <v>0.38419999999999999</v>
      </c>
      <c r="K36" s="6">
        <v>0.35220000000000001</v>
      </c>
      <c r="L36" s="5">
        <v>5.7</v>
      </c>
      <c r="M36" s="5">
        <v>202.8</v>
      </c>
      <c r="N36" s="5">
        <v>203.2</v>
      </c>
      <c r="O36" s="6">
        <v>0.83330000000000004</v>
      </c>
      <c r="P36" s="6">
        <v>0.86109999999999998</v>
      </c>
      <c r="Q36" s="5">
        <v>222.5</v>
      </c>
      <c r="R36" s="5">
        <v>125.7</v>
      </c>
      <c r="S36" s="5">
        <v>30.5</v>
      </c>
      <c r="T36" s="5">
        <v>20.9</v>
      </c>
      <c r="U36" s="5">
        <v>-9.6</v>
      </c>
      <c r="V36" s="5">
        <v>125.6</v>
      </c>
      <c r="W36" s="5">
        <v>425.7</v>
      </c>
      <c r="X36" s="5">
        <v>328.4</v>
      </c>
      <c r="Y36" s="5">
        <v>-0.1</v>
      </c>
    </row>
    <row r="37" spans="1:25" x14ac:dyDescent="0.3">
      <c r="A37" s="2" cm="1">
        <f t="array" ref="A37">CountByColumnLogic(E37:Z37)</f>
        <v>17</v>
      </c>
      <c r="B37" s="5" t="s">
        <v>57</v>
      </c>
      <c r="C37" s="5" t="s">
        <v>274</v>
      </c>
      <c r="D37" s="8" t="s">
        <v>293</v>
      </c>
      <c r="E37" s="5">
        <v>-13.2</v>
      </c>
      <c r="F37" s="5">
        <v>89</v>
      </c>
      <c r="G37" s="5">
        <v>20.3</v>
      </c>
      <c r="H37" s="5">
        <v>113</v>
      </c>
      <c r="I37" s="5">
        <v>124</v>
      </c>
      <c r="J37" s="6">
        <v>0.31759999999999999</v>
      </c>
      <c r="K37" s="6">
        <v>0.48949999999999999</v>
      </c>
      <c r="L37" s="5">
        <v>5.5</v>
      </c>
      <c r="M37" s="5">
        <v>222.7</v>
      </c>
      <c r="N37" s="5">
        <v>226.6</v>
      </c>
      <c r="O37" s="6">
        <v>0.85370000000000001</v>
      </c>
      <c r="P37" s="6">
        <v>0.85189999999999999</v>
      </c>
      <c r="Q37" s="5">
        <v>218</v>
      </c>
      <c r="R37" s="5">
        <v>97.2</v>
      </c>
      <c r="S37" s="5">
        <v>32.1</v>
      </c>
      <c r="T37" s="5">
        <v>18.3</v>
      </c>
      <c r="U37" s="5">
        <v>-13.8</v>
      </c>
      <c r="V37" s="5">
        <v>126</v>
      </c>
      <c r="W37" s="5">
        <v>444.6</v>
      </c>
      <c r="X37" s="5">
        <v>319.89999999999998</v>
      </c>
      <c r="Y37" s="5">
        <v>-0.1</v>
      </c>
    </row>
    <row r="38" spans="1:25" x14ac:dyDescent="0.3">
      <c r="A38" s="2" cm="1">
        <f t="array" ref="A38">CountByColumnLogic(E38:Z38)</f>
        <v>16</v>
      </c>
      <c r="B38" s="5" t="s">
        <v>279</v>
      </c>
      <c r="C38" s="5" t="s">
        <v>280</v>
      </c>
      <c r="D38" s="8" t="s">
        <v>294</v>
      </c>
      <c r="E38" s="5">
        <v>-12.9</v>
      </c>
      <c r="F38" s="5">
        <v>131</v>
      </c>
      <c r="G38" s="5">
        <v>26.5</v>
      </c>
      <c r="H38" s="5">
        <v>97</v>
      </c>
      <c r="I38" s="5">
        <v>125</v>
      </c>
      <c r="J38" s="6">
        <v>0.40450000000000003</v>
      </c>
      <c r="K38" s="6">
        <v>0.40589999999999998</v>
      </c>
      <c r="L38" s="5">
        <v>5.3</v>
      </c>
      <c r="M38" s="5">
        <v>293.2</v>
      </c>
      <c r="N38" s="5">
        <v>253.6</v>
      </c>
      <c r="O38" s="6">
        <v>0.86</v>
      </c>
      <c r="P38" s="6">
        <v>0.85109999999999997</v>
      </c>
      <c r="Q38" s="5">
        <v>156.4</v>
      </c>
      <c r="R38" s="5">
        <v>118</v>
      </c>
      <c r="S38" s="5">
        <v>32.200000000000003</v>
      </c>
      <c r="T38" s="5">
        <v>28.5</v>
      </c>
      <c r="U38" s="5">
        <v>-3.7</v>
      </c>
      <c r="V38" s="5">
        <v>131.80000000000001</v>
      </c>
      <c r="W38" s="5">
        <v>410</v>
      </c>
      <c r="X38" s="5">
        <v>411.2</v>
      </c>
      <c r="Y38" s="5">
        <v>-0.3</v>
      </c>
    </row>
    <row r="39" spans="1:25" x14ac:dyDescent="0.3">
      <c r="A39" s="2" cm="1">
        <f t="array" ref="A39">CountByColumnLogic(E39:Z39)</f>
        <v>15</v>
      </c>
      <c r="B39" s="5" t="s">
        <v>58</v>
      </c>
      <c r="C39" s="5" t="s">
        <v>267</v>
      </c>
      <c r="D39" s="8" t="s">
        <v>296</v>
      </c>
      <c r="E39" s="5">
        <v>6.4</v>
      </c>
      <c r="F39" s="5">
        <v>72</v>
      </c>
      <c r="G39" s="5">
        <v>59</v>
      </c>
      <c r="H39" s="5">
        <v>22</v>
      </c>
      <c r="I39" s="5">
        <v>99</v>
      </c>
      <c r="J39" s="6">
        <v>0.38150000000000001</v>
      </c>
      <c r="K39" s="6">
        <v>0.45179999999999998</v>
      </c>
      <c r="L39" s="5">
        <v>6.7</v>
      </c>
      <c r="M39" s="5">
        <v>277.39999999999998</v>
      </c>
      <c r="N39" s="5">
        <v>289.10000000000002</v>
      </c>
      <c r="O39" s="6">
        <v>0.8679</v>
      </c>
      <c r="P39" s="6">
        <v>0.8387</v>
      </c>
      <c r="Q39" s="5">
        <v>146.30000000000001</v>
      </c>
      <c r="R39" s="5">
        <v>137.19999999999999</v>
      </c>
      <c r="S39" s="5">
        <v>30.4</v>
      </c>
      <c r="T39" s="5">
        <v>33.799999999999997</v>
      </c>
      <c r="U39" s="5">
        <v>3.4</v>
      </c>
      <c r="V39" s="5">
        <v>148.80000000000001</v>
      </c>
      <c r="W39" s="5">
        <v>435.4</v>
      </c>
      <c r="X39" s="5">
        <v>414.6</v>
      </c>
      <c r="Y39" s="5">
        <v>0.8</v>
      </c>
    </row>
    <row r="40" spans="1:25" x14ac:dyDescent="0.3">
      <c r="A40" s="2" cm="1">
        <f t="array" ref="A40">CountByColumnLogic(E40:Z40)</f>
        <v>11</v>
      </c>
      <c r="B40" s="5" t="s">
        <v>59</v>
      </c>
      <c r="C40" s="5" t="s">
        <v>278</v>
      </c>
      <c r="D40" s="8" t="s">
        <v>292</v>
      </c>
      <c r="E40" s="5">
        <v>5.0999999999999996</v>
      </c>
      <c r="F40" s="5">
        <v>83</v>
      </c>
      <c r="G40" s="5">
        <v>61.8</v>
      </c>
      <c r="H40" s="5">
        <v>61</v>
      </c>
      <c r="I40" s="5">
        <v>35</v>
      </c>
      <c r="J40" s="6">
        <v>0.4451</v>
      </c>
      <c r="K40" s="6">
        <v>0.31790000000000002</v>
      </c>
      <c r="L40" s="5">
        <v>7</v>
      </c>
      <c r="M40" s="5">
        <v>265.2</v>
      </c>
      <c r="N40" s="5">
        <v>237.8</v>
      </c>
      <c r="O40" s="6">
        <v>0.70730000000000004</v>
      </c>
      <c r="P40" s="6">
        <v>0.8125</v>
      </c>
      <c r="Q40" s="5">
        <v>129.9</v>
      </c>
      <c r="R40" s="5">
        <v>176.7</v>
      </c>
      <c r="S40" s="5">
        <v>21.5</v>
      </c>
      <c r="T40" s="5">
        <v>30.8</v>
      </c>
      <c r="U40" s="5">
        <v>9.3000000000000007</v>
      </c>
      <c r="V40" s="5">
        <v>144.4</v>
      </c>
      <c r="W40" s="5">
        <v>367.7</v>
      </c>
      <c r="X40" s="5">
        <v>441.8</v>
      </c>
      <c r="Y40" s="5">
        <v>0.7</v>
      </c>
    </row>
    <row r="41" spans="1:25" x14ac:dyDescent="0.3">
      <c r="A41" s="2" cm="1">
        <f t="array" ref="A41">CountByColumnLogic(E41:Z41)</f>
        <v>14</v>
      </c>
      <c r="B41" s="5" t="s">
        <v>60</v>
      </c>
      <c r="C41" s="5" t="s">
        <v>275</v>
      </c>
      <c r="D41" s="8" t="s">
        <v>287</v>
      </c>
      <c r="E41" s="5">
        <v>-13.5</v>
      </c>
      <c r="F41" s="5">
        <v>129</v>
      </c>
      <c r="G41" s="5">
        <v>22.5</v>
      </c>
      <c r="H41" s="5">
        <v>90</v>
      </c>
      <c r="I41" s="5">
        <v>134</v>
      </c>
      <c r="J41" s="6">
        <v>0.40989999999999999</v>
      </c>
      <c r="K41" s="6">
        <v>0.44219999999999998</v>
      </c>
      <c r="L41" s="5">
        <v>6.2</v>
      </c>
      <c r="M41" s="5">
        <v>238.9</v>
      </c>
      <c r="N41" s="5">
        <v>177.5</v>
      </c>
      <c r="O41" s="6">
        <v>0.80489999999999995</v>
      </c>
      <c r="P41" s="6">
        <v>0.94289999999999996</v>
      </c>
      <c r="Q41" s="5">
        <v>232.7</v>
      </c>
      <c r="R41" s="5">
        <v>144.4</v>
      </c>
      <c r="S41" s="5">
        <v>29.9</v>
      </c>
      <c r="T41" s="5">
        <v>24.2</v>
      </c>
      <c r="U41" s="5">
        <v>-5.7</v>
      </c>
      <c r="V41" s="5">
        <v>128.1</v>
      </c>
      <c r="W41" s="5">
        <v>410.2</v>
      </c>
      <c r="X41" s="5">
        <v>383.3</v>
      </c>
      <c r="Y41" s="5">
        <v>-0.5</v>
      </c>
    </row>
    <row r="42" spans="1:25" x14ac:dyDescent="0.3">
      <c r="A42" s="2" cm="1">
        <f t="array" ref="A42">CountByColumnLogic(E42:Z42)</f>
        <v>18</v>
      </c>
      <c r="B42" s="5" t="s">
        <v>62</v>
      </c>
      <c r="C42" s="5" t="s">
        <v>278</v>
      </c>
      <c r="D42" s="8" t="s">
        <v>287</v>
      </c>
      <c r="E42" s="5">
        <v>-11.3</v>
      </c>
      <c r="F42" s="5">
        <v>97</v>
      </c>
      <c r="G42" s="5">
        <v>30.7</v>
      </c>
      <c r="H42" s="5">
        <v>86</v>
      </c>
      <c r="I42" s="5">
        <v>121</v>
      </c>
      <c r="J42" s="6">
        <v>0.36720000000000003</v>
      </c>
      <c r="K42" s="6">
        <v>0.46750000000000003</v>
      </c>
      <c r="L42" s="5">
        <v>7</v>
      </c>
      <c r="M42" s="5">
        <v>338.7</v>
      </c>
      <c r="N42" s="5">
        <v>235.9</v>
      </c>
      <c r="O42" s="6">
        <v>0.89800000000000002</v>
      </c>
      <c r="P42" s="6">
        <v>0.71109999999999995</v>
      </c>
      <c r="Q42" s="5">
        <v>213.1</v>
      </c>
      <c r="R42" s="5">
        <v>97</v>
      </c>
      <c r="S42" s="5">
        <v>38.4</v>
      </c>
      <c r="T42" s="5">
        <v>27.1</v>
      </c>
      <c r="U42" s="5">
        <v>-11.3</v>
      </c>
      <c r="V42" s="5">
        <v>131.30000000000001</v>
      </c>
      <c r="W42" s="5">
        <v>449</v>
      </c>
      <c r="X42" s="5">
        <v>435.7</v>
      </c>
      <c r="Y42" s="5">
        <v>-1.9</v>
      </c>
    </row>
    <row r="43" spans="1:25" x14ac:dyDescent="0.3">
      <c r="A43" s="2" cm="1">
        <f t="array" ref="A43">CountByColumnLogic(E43:Z43)</f>
        <v>15</v>
      </c>
      <c r="B43" s="5" t="s">
        <v>63</v>
      </c>
      <c r="C43" s="5" t="s">
        <v>266</v>
      </c>
      <c r="D43" s="8" t="s">
        <v>287</v>
      </c>
      <c r="E43" s="5">
        <v>8.1999999999999993</v>
      </c>
      <c r="F43" s="5">
        <v>3</v>
      </c>
      <c r="G43" s="5">
        <v>62.9</v>
      </c>
      <c r="H43" s="5">
        <v>70</v>
      </c>
      <c r="I43" s="5">
        <v>34</v>
      </c>
      <c r="J43" s="6">
        <v>0.3261</v>
      </c>
      <c r="K43" s="6">
        <v>0.4713</v>
      </c>
      <c r="L43" s="5">
        <v>5.5</v>
      </c>
      <c r="M43" s="5">
        <v>200.4</v>
      </c>
      <c r="N43" s="5">
        <v>238.7</v>
      </c>
      <c r="O43" s="6">
        <v>0.75</v>
      </c>
      <c r="P43" s="6">
        <v>0.92859999999999998</v>
      </c>
      <c r="Q43" s="5">
        <v>165.1</v>
      </c>
      <c r="R43" s="5">
        <v>131</v>
      </c>
      <c r="S43" s="5">
        <v>26.2</v>
      </c>
      <c r="T43" s="5">
        <v>18.5</v>
      </c>
      <c r="U43" s="5">
        <v>-7.6</v>
      </c>
      <c r="V43" s="5">
        <v>120.4</v>
      </c>
      <c r="W43" s="5">
        <v>403.8</v>
      </c>
      <c r="X43" s="5">
        <v>331.4</v>
      </c>
      <c r="Y43" s="5">
        <v>-0.3</v>
      </c>
    </row>
    <row r="44" spans="1:25" x14ac:dyDescent="0.3">
      <c r="A44" s="2" cm="1">
        <f t="array" ref="A44">CountByColumnLogic(E44:Z44)</f>
        <v>16</v>
      </c>
      <c r="B44" s="5" t="s">
        <v>281</v>
      </c>
      <c r="C44" s="5" t="s">
        <v>280</v>
      </c>
      <c r="D44" s="8" t="s">
        <v>294</v>
      </c>
      <c r="E44" s="5">
        <v>-11.2</v>
      </c>
      <c r="F44" s="5">
        <v>108</v>
      </c>
      <c r="G44" s="5">
        <v>33.299999999999997</v>
      </c>
      <c r="H44" s="5">
        <v>107</v>
      </c>
      <c r="I44" s="5">
        <v>87</v>
      </c>
      <c r="J44" s="6">
        <v>0.34079999999999999</v>
      </c>
      <c r="K44" s="6">
        <v>0.4012</v>
      </c>
      <c r="L44" s="5">
        <v>6.5</v>
      </c>
      <c r="M44" s="5">
        <v>213.9</v>
      </c>
      <c r="N44" s="5">
        <v>251.3</v>
      </c>
      <c r="O44" s="6">
        <v>0.84309999999999996</v>
      </c>
      <c r="P44" s="6">
        <v>0.84</v>
      </c>
      <c r="Q44" s="5">
        <v>166.4</v>
      </c>
      <c r="R44" s="5">
        <v>179.4</v>
      </c>
      <c r="S44" s="5">
        <v>31.8</v>
      </c>
      <c r="T44" s="5">
        <v>27.4</v>
      </c>
      <c r="U44" s="5">
        <v>-4.3</v>
      </c>
      <c r="V44" s="5">
        <v>124.5</v>
      </c>
      <c r="W44" s="5">
        <v>417.7</v>
      </c>
      <c r="X44" s="5">
        <v>393.3</v>
      </c>
      <c r="Y44" s="5">
        <v>0</v>
      </c>
    </row>
    <row r="45" spans="1:25" x14ac:dyDescent="0.3">
      <c r="A45" s="2" cm="1">
        <f t="array" ref="A45">CountByColumnLogic(E45:Z45)</f>
        <v>14</v>
      </c>
      <c r="B45" s="5" t="s">
        <v>64</v>
      </c>
      <c r="C45" s="5" t="s">
        <v>267</v>
      </c>
      <c r="D45" s="8" t="s">
        <v>288</v>
      </c>
      <c r="E45" s="5">
        <v>9.4</v>
      </c>
      <c r="F45" s="5">
        <v>45</v>
      </c>
      <c r="G45" s="5">
        <v>65.099999999999994</v>
      </c>
      <c r="H45" s="5">
        <v>20</v>
      </c>
      <c r="I45" s="5">
        <v>56</v>
      </c>
      <c r="J45" s="6">
        <v>0.48970000000000002</v>
      </c>
      <c r="K45" s="6">
        <v>0.39379999999999998</v>
      </c>
      <c r="L45" s="5">
        <v>5.6</v>
      </c>
      <c r="M45" s="5">
        <v>243</v>
      </c>
      <c r="N45" s="5">
        <v>199.7</v>
      </c>
      <c r="O45" s="6">
        <v>0.88239999999999996</v>
      </c>
      <c r="P45" s="6">
        <v>0.80769999999999997</v>
      </c>
      <c r="Q45" s="5">
        <v>141.1</v>
      </c>
      <c r="R45" s="5">
        <v>205.9</v>
      </c>
      <c r="S45" s="5">
        <v>23.7</v>
      </c>
      <c r="T45" s="5">
        <v>29</v>
      </c>
      <c r="U45" s="5">
        <v>5.3</v>
      </c>
      <c r="V45" s="5">
        <v>136.9</v>
      </c>
      <c r="W45" s="5">
        <v>340.8</v>
      </c>
      <c r="X45" s="5">
        <v>448.9</v>
      </c>
      <c r="Y45" s="5">
        <v>-0.5</v>
      </c>
    </row>
    <row r="46" spans="1:25" x14ac:dyDescent="0.3">
      <c r="A46" s="2" cm="1">
        <f t="array" ref="A46">CountByColumnLogic(E46:Z46)</f>
        <v>15</v>
      </c>
      <c r="B46" s="5" t="s">
        <v>65</v>
      </c>
      <c r="C46" s="5" t="s">
        <v>274</v>
      </c>
      <c r="D46" s="8" t="s">
        <v>292</v>
      </c>
      <c r="E46" s="5">
        <v>-4.3</v>
      </c>
      <c r="F46" s="5">
        <v>122</v>
      </c>
      <c r="G46" s="5">
        <v>45.8</v>
      </c>
      <c r="H46" s="5">
        <v>118</v>
      </c>
      <c r="I46" s="5">
        <v>40</v>
      </c>
      <c r="J46" s="6">
        <v>0.35709999999999997</v>
      </c>
      <c r="K46" s="6">
        <v>0.32100000000000001</v>
      </c>
      <c r="L46" s="5">
        <v>6.7</v>
      </c>
      <c r="M46" s="5">
        <v>174.8</v>
      </c>
      <c r="N46" s="5">
        <v>155.69999999999999</v>
      </c>
      <c r="O46" s="6">
        <v>0.8276</v>
      </c>
      <c r="P46" s="6">
        <v>0.76190000000000002</v>
      </c>
      <c r="Q46" s="5">
        <v>142.5</v>
      </c>
      <c r="R46" s="5">
        <v>166.3</v>
      </c>
      <c r="S46" s="5">
        <v>19.8</v>
      </c>
      <c r="T46" s="5">
        <v>23.3</v>
      </c>
      <c r="U46" s="5">
        <v>3.5</v>
      </c>
      <c r="V46" s="5">
        <v>115.7</v>
      </c>
      <c r="W46" s="5">
        <v>298.2</v>
      </c>
      <c r="X46" s="5">
        <v>341</v>
      </c>
      <c r="Y46" s="5">
        <v>0.5</v>
      </c>
    </row>
    <row r="47" spans="1:25" x14ac:dyDescent="0.3">
      <c r="A47" s="2" cm="1">
        <f t="array" ref="A47">CountByColumnLogic(E47:Z47)</f>
        <v>5</v>
      </c>
      <c r="B47" s="5" t="s">
        <v>66</v>
      </c>
      <c r="C47" s="5" t="s">
        <v>266</v>
      </c>
      <c r="D47" s="8" t="s">
        <v>295</v>
      </c>
      <c r="E47" s="5">
        <v>21.4</v>
      </c>
      <c r="F47" s="5">
        <v>17</v>
      </c>
      <c r="G47" s="5">
        <v>83.3</v>
      </c>
      <c r="H47" s="5">
        <v>11</v>
      </c>
      <c r="I47" s="5">
        <v>15</v>
      </c>
      <c r="J47" s="6">
        <v>0.42599999999999999</v>
      </c>
      <c r="K47" s="6">
        <v>0.36049999999999999</v>
      </c>
      <c r="L47" s="5">
        <v>4.7</v>
      </c>
      <c r="M47" s="5">
        <v>219.4</v>
      </c>
      <c r="N47" s="5">
        <v>221.5</v>
      </c>
      <c r="O47" s="6">
        <v>0.76470000000000005</v>
      </c>
      <c r="P47" s="6">
        <v>0.92449999999999999</v>
      </c>
      <c r="Q47" s="5">
        <v>84.5</v>
      </c>
      <c r="R47" s="5">
        <v>182</v>
      </c>
      <c r="S47" s="5">
        <v>18.5</v>
      </c>
      <c r="T47" s="5">
        <v>32.4</v>
      </c>
      <c r="U47" s="5">
        <v>13.9</v>
      </c>
      <c r="V47" s="5">
        <v>149.1</v>
      </c>
      <c r="W47" s="5">
        <v>306</v>
      </c>
      <c r="X47" s="5">
        <v>401.4</v>
      </c>
      <c r="Y47" s="5">
        <v>0.1</v>
      </c>
    </row>
    <row r="48" spans="1:25" x14ac:dyDescent="0.3">
      <c r="A48" s="2" cm="1">
        <f t="array" ref="A48">CountByColumnLogic(E48:Z48)</f>
        <v>15</v>
      </c>
      <c r="B48" s="5" t="s">
        <v>67</v>
      </c>
      <c r="C48" s="5" t="s">
        <v>276</v>
      </c>
      <c r="D48" s="8" t="s">
        <v>294</v>
      </c>
      <c r="E48" s="5">
        <v>-9.6999999999999993</v>
      </c>
      <c r="F48" s="5">
        <v>86</v>
      </c>
      <c r="G48" s="5">
        <v>32.799999999999997</v>
      </c>
      <c r="H48" s="5">
        <v>57</v>
      </c>
      <c r="I48" s="5">
        <v>130</v>
      </c>
      <c r="J48" s="6">
        <v>0.43290000000000001</v>
      </c>
      <c r="K48" s="6">
        <v>0.49030000000000001</v>
      </c>
      <c r="L48" s="5">
        <v>5.0999999999999996</v>
      </c>
      <c r="M48" s="5">
        <v>241.8</v>
      </c>
      <c r="N48" s="5">
        <v>248.7</v>
      </c>
      <c r="O48" s="6">
        <v>0.85709999999999997</v>
      </c>
      <c r="P48" s="6">
        <v>0.86960000000000004</v>
      </c>
      <c r="Q48" s="5">
        <v>227.3</v>
      </c>
      <c r="R48" s="5">
        <v>150.9</v>
      </c>
      <c r="S48" s="5">
        <v>33.6</v>
      </c>
      <c r="T48" s="5">
        <v>26.5</v>
      </c>
      <c r="U48" s="5">
        <v>-7.1</v>
      </c>
      <c r="V48" s="5">
        <v>140.9</v>
      </c>
      <c r="W48" s="5">
        <v>475.9</v>
      </c>
      <c r="X48" s="5">
        <v>392.7</v>
      </c>
      <c r="Y48" s="5">
        <v>0.5</v>
      </c>
    </row>
    <row r="49" spans="1:25" x14ac:dyDescent="0.3">
      <c r="A49" s="2" cm="1">
        <f t="array" ref="A49">CountByColumnLogic(E49:Z49)</f>
        <v>19</v>
      </c>
      <c r="B49" s="5" t="s">
        <v>68</v>
      </c>
      <c r="C49" s="5" t="s">
        <v>276</v>
      </c>
      <c r="D49" s="8" t="s">
        <v>297</v>
      </c>
      <c r="E49" s="5">
        <v>-17.600000000000001</v>
      </c>
      <c r="F49" s="5">
        <v>68</v>
      </c>
      <c r="G49" s="5">
        <v>19.5</v>
      </c>
      <c r="H49" s="5">
        <v>103</v>
      </c>
      <c r="I49" s="5">
        <v>129</v>
      </c>
      <c r="J49" s="6">
        <v>0.38179999999999997</v>
      </c>
      <c r="K49" s="6">
        <v>0.48649999999999999</v>
      </c>
      <c r="L49" s="5">
        <v>8.1999999999999993</v>
      </c>
      <c r="M49" s="5">
        <v>251</v>
      </c>
      <c r="N49" s="5">
        <v>248.2</v>
      </c>
      <c r="O49" s="6">
        <v>0.89659999999999995</v>
      </c>
      <c r="P49" s="6">
        <v>0.6875</v>
      </c>
      <c r="Q49" s="5">
        <v>216.5</v>
      </c>
      <c r="R49" s="5">
        <v>120.3</v>
      </c>
      <c r="S49" s="5">
        <v>39.4</v>
      </c>
      <c r="T49" s="5">
        <v>18.2</v>
      </c>
      <c r="U49" s="5">
        <v>-21.2</v>
      </c>
      <c r="V49" s="5">
        <v>121.4</v>
      </c>
      <c r="W49" s="5">
        <v>464.7</v>
      </c>
      <c r="X49" s="5">
        <v>371.3</v>
      </c>
      <c r="Y49" s="5">
        <v>-0.8</v>
      </c>
    </row>
    <row r="50" spans="1:25" x14ac:dyDescent="0.3">
      <c r="A50" s="2" cm="1">
        <f t="array" ref="A50">CountByColumnLogic(E50:Z50)</f>
        <v>12</v>
      </c>
      <c r="B50" s="5" t="s">
        <v>69</v>
      </c>
      <c r="C50" s="5" t="s">
        <v>267</v>
      </c>
      <c r="D50" s="8" t="s">
        <v>292</v>
      </c>
      <c r="E50" s="5">
        <v>7.6</v>
      </c>
      <c r="F50" s="5">
        <v>59</v>
      </c>
      <c r="G50" s="5">
        <v>64.7</v>
      </c>
      <c r="H50" s="5">
        <v>24</v>
      </c>
      <c r="I50" s="5">
        <v>85</v>
      </c>
      <c r="J50" s="6">
        <v>0.47260000000000002</v>
      </c>
      <c r="K50" s="6">
        <v>0.41880000000000001</v>
      </c>
      <c r="L50" s="5">
        <v>5.5</v>
      </c>
      <c r="M50" s="5">
        <v>247.7</v>
      </c>
      <c r="N50" s="5">
        <v>237</v>
      </c>
      <c r="O50" s="6">
        <v>0.80430000000000001</v>
      </c>
      <c r="P50" s="6">
        <v>0.88</v>
      </c>
      <c r="Q50" s="5">
        <v>168.3</v>
      </c>
      <c r="R50" s="5">
        <v>195.3</v>
      </c>
      <c r="S50" s="5">
        <v>26.1</v>
      </c>
      <c r="T50" s="5">
        <v>29.9</v>
      </c>
      <c r="U50" s="5">
        <v>3.8</v>
      </c>
      <c r="V50" s="5">
        <v>147.1</v>
      </c>
      <c r="W50" s="5">
        <v>405.3</v>
      </c>
      <c r="X50" s="5">
        <v>443</v>
      </c>
      <c r="Y50" s="5">
        <v>-0.4</v>
      </c>
    </row>
    <row r="51" spans="1:25" x14ac:dyDescent="0.3">
      <c r="A51" s="2" cm="1">
        <f t="array" ref="A51">CountByColumnLogic(E51:Z51)</f>
        <v>15</v>
      </c>
      <c r="B51" s="5" t="s">
        <v>70</v>
      </c>
      <c r="C51" s="5" t="s">
        <v>274</v>
      </c>
      <c r="D51" s="8" t="s">
        <v>292</v>
      </c>
      <c r="E51" s="5">
        <v>-5.2</v>
      </c>
      <c r="F51" s="5">
        <v>112</v>
      </c>
      <c r="G51" s="5">
        <v>42.3</v>
      </c>
      <c r="H51" s="5">
        <v>83</v>
      </c>
      <c r="I51" s="5">
        <v>96</v>
      </c>
      <c r="J51" s="6">
        <v>0.44690000000000002</v>
      </c>
      <c r="K51" s="6">
        <v>0.36990000000000001</v>
      </c>
      <c r="L51" s="5">
        <v>7.3</v>
      </c>
      <c r="M51" s="5">
        <v>294</v>
      </c>
      <c r="N51" s="5">
        <v>230.8</v>
      </c>
      <c r="O51" s="6">
        <v>0.86839999999999995</v>
      </c>
      <c r="P51" s="6">
        <v>0.95</v>
      </c>
      <c r="Q51" s="5">
        <v>142</v>
      </c>
      <c r="R51" s="5">
        <v>103.3</v>
      </c>
      <c r="S51" s="5">
        <v>25.8</v>
      </c>
      <c r="T51" s="5">
        <v>29.5</v>
      </c>
      <c r="U51" s="5">
        <v>3.7</v>
      </c>
      <c r="V51" s="5">
        <v>138.9</v>
      </c>
      <c r="W51" s="5">
        <v>372.8</v>
      </c>
      <c r="X51" s="5">
        <v>397.3</v>
      </c>
      <c r="Y51" s="5">
        <v>-0.3</v>
      </c>
    </row>
    <row r="52" spans="1:25" x14ac:dyDescent="0.3">
      <c r="A52" s="2" cm="1">
        <f t="array" ref="A52">CountByColumnLogic(E52:Z52)</f>
        <v>11</v>
      </c>
      <c r="B52" s="5" t="s">
        <v>71</v>
      </c>
      <c r="C52" s="5" t="s">
        <v>277</v>
      </c>
      <c r="D52" s="8" t="s">
        <v>300</v>
      </c>
      <c r="E52" s="5">
        <v>4.4000000000000004</v>
      </c>
      <c r="F52" s="5">
        <v>70</v>
      </c>
      <c r="G52" s="5">
        <v>61.6</v>
      </c>
      <c r="H52" s="5">
        <v>45</v>
      </c>
      <c r="I52" s="5">
        <v>42</v>
      </c>
      <c r="J52" s="6">
        <v>0.4078</v>
      </c>
      <c r="K52" s="6">
        <v>0.375</v>
      </c>
      <c r="L52" s="5">
        <v>4.3</v>
      </c>
      <c r="M52" s="5">
        <v>222.3</v>
      </c>
      <c r="N52" s="5">
        <v>228.3</v>
      </c>
      <c r="O52" s="6">
        <v>0.77780000000000005</v>
      </c>
      <c r="P52" s="6">
        <v>0.92500000000000004</v>
      </c>
      <c r="Q52" s="5">
        <v>136.5</v>
      </c>
      <c r="R52" s="5">
        <v>176.5</v>
      </c>
      <c r="S52" s="5">
        <v>24.8</v>
      </c>
      <c r="T52" s="5">
        <v>29.3</v>
      </c>
      <c r="U52" s="5">
        <v>4.5</v>
      </c>
      <c r="V52" s="5">
        <v>144.69999999999999</v>
      </c>
      <c r="W52" s="5">
        <v>364.8</v>
      </c>
      <c r="X52" s="5">
        <v>398.8</v>
      </c>
      <c r="Y52" s="5">
        <v>0.2</v>
      </c>
    </row>
    <row r="53" spans="1:25" x14ac:dyDescent="0.3">
      <c r="A53" s="2" cm="1">
        <f t="array" ref="A53">CountByColumnLogic(E53:Z53)</f>
        <v>13</v>
      </c>
      <c r="B53" s="5" t="s">
        <v>72</v>
      </c>
      <c r="C53" s="5" t="s">
        <v>268</v>
      </c>
      <c r="D53" s="8" t="s">
        <v>292</v>
      </c>
      <c r="E53" s="5">
        <v>10</v>
      </c>
      <c r="F53" s="5">
        <v>23</v>
      </c>
      <c r="G53" s="5">
        <v>70.5</v>
      </c>
      <c r="H53" s="5">
        <v>25</v>
      </c>
      <c r="I53" s="5">
        <v>47</v>
      </c>
      <c r="J53" s="6">
        <v>0.41959999999999997</v>
      </c>
      <c r="K53" s="6">
        <v>0.45810000000000001</v>
      </c>
      <c r="L53" s="5">
        <v>4.5999999999999996</v>
      </c>
      <c r="M53" s="5">
        <v>236.2</v>
      </c>
      <c r="N53" s="5">
        <v>225.4</v>
      </c>
      <c r="O53" s="6">
        <v>0.86670000000000003</v>
      </c>
      <c r="P53" s="6">
        <v>0.86</v>
      </c>
      <c r="Q53" s="5">
        <v>135.6</v>
      </c>
      <c r="R53" s="5">
        <v>132.19999999999999</v>
      </c>
      <c r="S53" s="5">
        <v>25.3</v>
      </c>
      <c r="T53" s="5">
        <v>27.5</v>
      </c>
      <c r="U53" s="5">
        <v>2.2000000000000002</v>
      </c>
      <c r="V53" s="5">
        <v>150</v>
      </c>
      <c r="W53" s="5">
        <v>361</v>
      </c>
      <c r="X53" s="5">
        <v>368.3</v>
      </c>
      <c r="Y53" s="5">
        <v>0.3</v>
      </c>
    </row>
    <row r="54" spans="1:25" x14ac:dyDescent="0.3">
      <c r="A54" s="2" cm="1">
        <f t="array" ref="A54">CountByColumnLogic(E54:Z54)</f>
        <v>0</v>
      </c>
      <c r="B54" s="5" t="s">
        <v>73</v>
      </c>
      <c r="C54" s="5" t="s">
        <v>268</v>
      </c>
      <c r="D54" s="8" t="s">
        <v>301</v>
      </c>
      <c r="E54" s="5">
        <v>31.5</v>
      </c>
      <c r="F54" s="5">
        <v>10</v>
      </c>
      <c r="G54" s="5">
        <v>95.2</v>
      </c>
      <c r="H54" s="5">
        <v>3</v>
      </c>
      <c r="I54" s="5">
        <v>2</v>
      </c>
      <c r="J54" s="6">
        <v>0.55500000000000005</v>
      </c>
      <c r="K54" s="6">
        <v>0.3125</v>
      </c>
      <c r="L54" s="5">
        <v>3.6</v>
      </c>
      <c r="M54" s="5">
        <v>229.8</v>
      </c>
      <c r="N54" s="5">
        <v>198.9</v>
      </c>
      <c r="O54" s="6">
        <v>0.81479999999999997</v>
      </c>
      <c r="P54" s="6">
        <v>0.91180000000000005</v>
      </c>
      <c r="Q54" s="5">
        <v>79.7</v>
      </c>
      <c r="R54" s="5">
        <v>207.3</v>
      </c>
      <c r="S54" s="5">
        <v>12.5</v>
      </c>
      <c r="T54" s="5">
        <v>39.5</v>
      </c>
      <c r="U54" s="5">
        <v>27.1</v>
      </c>
      <c r="V54" s="5">
        <v>178.3</v>
      </c>
      <c r="W54" s="5">
        <v>278.60000000000002</v>
      </c>
      <c r="X54" s="5">
        <v>437.1</v>
      </c>
      <c r="Y54" s="5">
        <v>1.5</v>
      </c>
    </row>
    <row r="55" spans="1:25" x14ac:dyDescent="0.3">
      <c r="A55" s="2" cm="1">
        <f t="array" ref="A55">CountByColumnLogic(E55:Z55)</f>
        <v>10</v>
      </c>
      <c r="B55" s="5" t="s">
        <v>74</v>
      </c>
      <c r="C55" s="5" t="s">
        <v>268</v>
      </c>
      <c r="D55" s="8" t="s">
        <v>292</v>
      </c>
      <c r="E55" s="5">
        <v>15.3</v>
      </c>
      <c r="F55" s="5">
        <v>16</v>
      </c>
      <c r="G55" s="5">
        <v>79.099999999999994</v>
      </c>
      <c r="H55" s="5">
        <v>43</v>
      </c>
      <c r="I55" s="5">
        <v>8</v>
      </c>
      <c r="J55" s="6">
        <v>0.4138</v>
      </c>
      <c r="K55" s="6">
        <v>0.35060000000000002</v>
      </c>
      <c r="L55" s="5">
        <v>3.1</v>
      </c>
      <c r="M55" s="5">
        <v>151.1</v>
      </c>
      <c r="N55" s="5">
        <v>175.9</v>
      </c>
      <c r="O55" s="6">
        <v>0.84850000000000003</v>
      </c>
      <c r="P55" s="6">
        <v>0.91110000000000002</v>
      </c>
      <c r="Q55" s="5">
        <v>113.3</v>
      </c>
      <c r="R55" s="5">
        <v>165.8</v>
      </c>
      <c r="S55" s="5">
        <v>16.8</v>
      </c>
      <c r="T55" s="5">
        <v>28.9</v>
      </c>
      <c r="U55" s="5">
        <v>12.1</v>
      </c>
      <c r="V55" s="5">
        <v>127.3</v>
      </c>
      <c r="W55" s="5">
        <v>289.3</v>
      </c>
      <c r="X55" s="5">
        <v>316.89999999999998</v>
      </c>
      <c r="Y55" s="5">
        <v>0.2</v>
      </c>
    </row>
    <row r="56" spans="1:25" x14ac:dyDescent="0.3">
      <c r="A56" s="2" cm="1">
        <f t="array" ref="A56">CountByColumnLogic(E56:Z56)</f>
        <v>14</v>
      </c>
      <c r="B56" s="5" t="s">
        <v>75</v>
      </c>
      <c r="C56" s="5" t="s">
        <v>277</v>
      </c>
      <c r="D56" s="8" t="s">
        <v>302</v>
      </c>
      <c r="E56" s="5">
        <v>8.6</v>
      </c>
      <c r="F56" s="5">
        <v>62</v>
      </c>
      <c r="G56" s="5">
        <v>64.099999999999994</v>
      </c>
      <c r="H56" s="5">
        <v>41</v>
      </c>
      <c r="I56" s="5">
        <v>46</v>
      </c>
      <c r="J56" s="6">
        <v>0.36599999999999999</v>
      </c>
      <c r="K56" s="6">
        <v>0.3851</v>
      </c>
      <c r="L56" s="5">
        <v>4.7</v>
      </c>
      <c r="M56" s="5">
        <v>213.7</v>
      </c>
      <c r="N56" s="5">
        <v>226.9</v>
      </c>
      <c r="O56" s="6">
        <v>0.84850000000000003</v>
      </c>
      <c r="P56" s="6">
        <v>0.81579999999999997</v>
      </c>
      <c r="Q56" s="5">
        <v>143.5</v>
      </c>
      <c r="R56" s="5">
        <v>169.8</v>
      </c>
      <c r="S56" s="5">
        <v>21.4</v>
      </c>
      <c r="T56" s="5">
        <v>24.9</v>
      </c>
      <c r="U56" s="5">
        <v>3.5</v>
      </c>
      <c r="V56" s="5">
        <v>127.5</v>
      </c>
      <c r="W56" s="5">
        <v>370.4</v>
      </c>
      <c r="X56" s="5">
        <v>383.5</v>
      </c>
      <c r="Y56" s="5">
        <v>0.2</v>
      </c>
    </row>
    <row r="57" spans="1:25" x14ac:dyDescent="0.3">
      <c r="A57" s="2" cm="1">
        <f t="array" ref="A57">CountByColumnLogic(E57:Z57)</f>
        <v>14</v>
      </c>
      <c r="B57" s="5" t="s">
        <v>76</v>
      </c>
      <c r="C57" s="5" t="s">
        <v>280</v>
      </c>
      <c r="D57" s="8" t="s">
        <v>296</v>
      </c>
      <c r="E57" s="5">
        <v>-9.5</v>
      </c>
      <c r="F57" s="5">
        <v>135</v>
      </c>
      <c r="G57" s="5">
        <v>35.799999999999997</v>
      </c>
      <c r="H57" s="5">
        <v>96</v>
      </c>
      <c r="I57" s="5">
        <v>81</v>
      </c>
      <c r="J57" s="6">
        <v>0.38040000000000002</v>
      </c>
      <c r="K57" s="6">
        <v>0.36840000000000001</v>
      </c>
      <c r="L57" s="5">
        <v>5.5</v>
      </c>
      <c r="M57" s="5">
        <v>158.69999999999999</v>
      </c>
      <c r="N57" s="5">
        <v>241.7</v>
      </c>
      <c r="O57" s="6">
        <v>0.80389999999999995</v>
      </c>
      <c r="P57" s="6">
        <v>0.8</v>
      </c>
      <c r="Q57" s="5">
        <v>148.5</v>
      </c>
      <c r="R57" s="5">
        <v>240.6</v>
      </c>
      <c r="S57" s="5">
        <v>26.4</v>
      </c>
      <c r="T57" s="5">
        <v>26.8</v>
      </c>
      <c r="U57" s="5">
        <v>0.5</v>
      </c>
      <c r="V57" s="5">
        <v>128.19999999999999</v>
      </c>
      <c r="W57" s="5">
        <v>390.2</v>
      </c>
      <c r="X57" s="5">
        <v>399.3</v>
      </c>
      <c r="Y57" s="5">
        <v>0.7</v>
      </c>
    </row>
    <row r="58" spans="1:25" x14ac:dyDescent="0.3">
      <c r="A58" s="2" cm="1">
        <f t="array" ref="A58">CountByColumnLogic(E58:Z58)</f>
        <v>9</v>
      </c>
      <c r="B58" s="5" t="s">
        <v>77</v>
      </c>
      <c r="C58" s="5" t="s">
        <v>276</v>
      </c>
      <c r="D58" s="8" t="s">
        <v>295</v>
      </c>
      <c r="E58" s="5">
        <v>10.3</v>
      </c>
      <c r="F58" s="5">
        <v>82</v>
      </c>
      <c r="G58" s="5">
        <v>68.099999999999994</v>
      </c>
      <c r="H58" s="5">
        <v>42</v>
      </c>
      <c r="I58" s="5">
        <v>31</v>
      </c>
      <c r="J58" s="6">
        <v>0.46150000000000002</v>
      </c>
      <c r="K58" s="6">
        <v>0.29830000000000001</v>
      </c>
      <c r="L58" s="5">
        <v>7.6</v>
      </c>
      <c r="M58" s="5">
        <v>216.2</v>
      </c>
      <c r="N58" s="5">
        <v>189.1</v>
      </c>
      <c r="O58" s="6">
        <v>0.85289999999999999</v>
      </c>
      <c r="P58" s="6">
        <v>0.86209999999999998</v>
      </c>
      <c r="Q58" s="5">
        <v>86.7</v>
      </c>
      <c r="R58" s="5">
        <v>236.5</v>
      </c>
      <c r="S58" s="5">
        <v>19</v>
      </c>
      <c r="T58" s="5">
        <v>36.5</v>
      </c>
      <c r="U58" s="5">
        <v>17.5</v>
      </c>
      <c r="V58" s="5">
        <v>141.19999999999999</v>
      </c>
      <c r="W58" s="5">
        <v>275.8</v>
      </c>
      <c r="X58" s="5">
        <v>452.8</v>
      </c>
      <c r="Y58" s="5">
        <v>0</v>
      </c>
    </row>
    <row r="59" spans="1:25" x14ac:dyDescent="0.3">
      <c r="A59" s="2" cm="1">
        <f t="array" ref="A59">CountByColumnLogic(E59:Z59)</f>
        <v>17</v>
      </c>
      <c r="B59" s="5" t="s">
        <v>78</v>
      </c>
      <c r="C59" s="5" t="s">
        <v>277</v>
      </c>
      <c r="D59" s="8" t="s">
        <v>288</v>
      </c>
      <c r="E59" s="5">
        <v>4.4000000000000004</v>
      </c>
      <c r="F59" s="5">
        <v>39</v>
      </c>
      <c r="G59" s="5">
        <v>56.7</v>
      </c>
      <c r="H59" s="5">
        <v>29</v>
      </c>
      <c r="I59" s="5">
        <v>93</v>
      </c>
      <c r="J59" s="6">
        <v>0.38129999999999997</v>
      </c>
      <c r="K59" s="6">
        <v>0.42859999999999998</v>
      </c>
      <c r="L59" s="5">
        <v>4.9000000000000004</v>
      </c>
      <c r="M59" s="5">
        <v>211</v>
      </c>
      <c r="N59" s="5">
        <v>225.4</v>
      </c>
      <c r="O59" s="6">
        <v>0.87180000000000002</v>
      </c>
      <c r="P59" s="6">
        <v>0.71789999999999998</v>
      </c>
      <c r="Q59" s="5">
        <v>184.1</v>
      </c>
      <c r="R59" s="5">
        <v>157.80000000000001</v>
      </c>
      <c r="S59" s="5">
        <v>28.5</v>
      </c>
      <c r="T59" s="5">
        <v>26.5</v>
      </c>
      <c r="U59" s="5">
        <v>-2.1</v>
      </c>
      <c r="V59" s="5">
        <v>138.80000000000001</v>
      </c>
      <c r="W59" s="5">
        <v>409.5</v>
      </c>
      <c r="X59" s="5">
        <v>368.8</v>
      </c>
      <c r="Y59" s="5">
        <v>-0.1</v>
      </c>
    </row>
    <row r="60" spans="1:25" x14ac:dyDescent="0.3">
      <c r="A60" s="2" cm="1">
        <f t="array" ref="A60">CountByColumnLogic(E60:Z60)</f>
        <v>15</v>
      </c>
      <c r="B60" s="5" t="s">
        <v>79</v>
      </c>
      <c r="C60" s="5" t="s">
        <v>277</v>
      </c>
      <c r="D60" s="8" t="s">
        <v>303</v>
      </c>
      <c r="E60" s="5">
        <v>7.8</v>
      </c>
      <c r="F60" s="5">
        <v>48</v>
      </c>
      <c r="G60" s="5">
        <v>63.8</v>
      </c>
      <c r="H60" s="5">
        <v>40</v>
      </c>
      <c r="I60" s="5">
        <v>44</v>
      </c>
      <c r="J60" s="6">
        <v>0.36809999999999998</v>
      </c>
      <c r="K60" s="6">
        <v>0.39760000000000001</v>
      </c>
      <c r="L60" s="5">
        <v>4.2</v>
      </c>
      <c r="M60" s="5">
        <v>187.5</v>
      </c>
      <c r="N60" s="5">
        <v>219.7</v>
      </c>
      <c r="O60" s="6">
        <v>0.8125</v>
      </c>
      <c r="P60" s="6">
        <v>0.94289999999999996</v>
      </c>
      <c r="Q60" s="5">
        <v>169.4</v>
      </c>
      <c r="R60" s="5">
        <v>173.9</v>
      </c>
      <c r="S60" s="5">
        <v>25.9</v>
      </c>
      <c r="T60" s="5">
        <v>28.6</v>
      </c>
      <c r="U60" s="5">
        <v>2.7</v>
      </c>
      <c r="V60" s="5">
        <v>128.19999999999999</v>
      </c>
      <c r="W60" s="5">
        <v>389.1</v>
      </c>
      <c r="X60" s="5">
        <v>361.4</v>
      </c>
      <c r="Y60" s="5">
        <v>1</v>
      </c>
    </row>
    <row r="61" spans="1:25" x14ac:dyDescent="0.3">
      <c r="A61" s="2" cm="1">
        <f t="array" ref="A61">CountByColumnLogic(E61:Z61)</f>
        <v>14</v>
      </c>
      <c r="B61" s="5" t="s">
        <v>80</v>
      </c>
      <c r="C61" s="5" t="s">
        <v>280</v>
      </c>
      <c r="D61" s="8" t="s">
        <v>304</v>
      </c>
      <c r="E61" s="5">
        <v>-8</v>
      </c>
      <c r="F61" s="5">
        <v>96</v>
      </c>
      <c r="G61" s="5">
        <v>41.2</v>
      </c>
      <c r="H61" s="5">
        <v>67</v>
      </c>
      <c r="I61" s="5">
        <v>101</v>
      </c>
      <c r="J61" s="6">
        <v>0.39889999999999998</v>
      </c>
      <c r="K61" s="6">
        <v>0.37019999999999997</v>
      </c>
      <c r="L61" s="5">
        <v>7.1</v>
      </c>
      <c r="M61" s="5">
        <v>246.7</v>
      </c>
      <c r="N61" s="5">
        <v>220.5</v>
      </c>
      <c r="O61" s="6">
        <v>0.75470000000000004</v>
      </c>
      <c r="P61" s="6">
        <v>0.73329999999999995</v>
      </c>
      <c r="Q61" s="5">
        <v>192.9</v>
      </c>
      <c r="R61" s="5">
        <v>159.80000000000001</v>
      </c>
      <c r="S61" s="5">
        <v>26.5</v>
      </c>
      <c r="T61" s="5">
        <v>26.7</v>
      </c>
      <c r="U61" s="5">
        <v>0.2</v>
      </c>
      <c r="V61" s="5">
        <v>145.6</v>
      </c>
      <c r="W61" s="5">
        <v>413.4</v>
      </c>
      <c r="X61" s="5">
        <v>406.5</v>
      </c>
      <c r="Y61" s="5">
        <v>-0.2</v>
      </c>
    </row>
    <row r="62" spans="1:25" x14ac:dyDescent="0.3">
      <c r="A62" s="2" cm="1">
        <f t="array" ref="A62">CountByColumnLogic(E62:Z62)</f>
        <v>19</v>
      </c>
      <c r="B62" s="5" t="s">
        <v>81</v>
      </c>
      <c r="C62" s="5" t="s">
        <v>275</v>
      </c>
      <c r="D62" s="8" t="s">
        <v>288</v>
      </c>
      <c r="E62" s="5">
        <v>-19.600000000000001</v>
      </c>
      <c r="F62" s="5">
        <v>66</v>
      </c>
      <c r="G62" s="5">
        <v>18.899999999999999</v>
      </c>
      <c r="H62" s="5">
        <v>115</v>
      </c>
      <c r="I62" s="5">
        <v>132</v>
      </c>
      <c r="J62" s="6">
        <v>0.2676</v>
      </c>
      <c r="K62" s="6">
        <v>0.46579999999999999</v>
      </c>
      <c r="L62" s="5">
        <v>5.9</v>
      </c>
      <c r="M62" s="5">
        <v>196</v>
      </c>
      <c r="N62" s="5">
        <v>241.5</v>
      </c>
      <c r="O62" s="6">
        <v>0.89359999999999995</v>
      </c>
      <c r="P62" s="6">
        <v>0.8095</v>
      </c>
      <c r="Q62" s="5">
        <v>194.8</v>
      </c>
      <c r="R62" s="5">
        <v>97.6</v>
      </c>
      <c r="S62" s="5">
        <v>35.1</v>
      </c>
      <c r="T62" s="5">
        <v>21.3</v>
      </c>
      <c r="U62" s="5">
        <v>-13.8</v>
      </c>
      <c r="V62" s="5">
        <v>139</v>
      </c>
      <c r="W62" s="5">
        <v>436.3</v>
      </c>
      <c r="X62" s="5">
        <v>293.60000000000002</v>
      </c>
      <c r="Y62" s="5">
        <v>-0.2</v>
      </c>
    </row>
    <row r="63" spans="1:25" x14ac:dyDescent="0.3">
      <c r="A63" s="2" cm="1">
        <f t="array" ref="A63">CountByColumnLogic(E63:Z63)</f>
        <v>17</v>
      </c>
      <c r="B63" s="5" t="s">
        <v>82</v>
      </c>
      <c r="C63" s="5" t="s">
        <v>266</v>
      </c>
      <c r="D63" s="8" t="s">
        <v>288</v>
      </c>
      <c r="E63" s="5">
        <v>5.0999999999999996</v>
      </c>
      <c r="F63" s="5">
        <v>11</v>
      </c>
      <c r="G63" s="5">
        <v>57.2</v>
      </c>
      <c r="H63" s="5">
        <v>71</v>
      </c>
      <c r="I63" s="5">
        <v>36</v>
      </c>
      <c r="J63" s="6">
        <v>0.4027</v>
      </c>
      <c r="K63" s="6">
        <v>0.40139999999999998</v>
      </c>
      <c r="L63" s="5">
        <v>5.0999999999999996</v>
      </c>
      <c r="M63" s="5">
        <v>196.5</v>
      </c>
      <c r="N63" s="5">
        <v>250.7</v>
      </c>
      <c r="O63" s="6">
        <v>0.878</v>
      </c>
      <c r="P63" s="6">
        <v>0.7742</v>
      </c>
      <c r="Q63" s="5">
        <v>133.69999999999999</v>
      </c>
      <c r="R63" s="5">
        <v>133</v>
      </c>
      <c r="S63" s="5">
        <v>27.9</v>
      </c>
      <c r="T63" s="5">
        <v>21.3</v>
      </c>
      <c r="U63" s="5">
        <v>-6.6</v>
      </c>
      <c r="V63" s="5">
        <v>119.9</v>
      </c>
      <c r="W63" s="5">
        <v>384.5</v>
      </c>
      <c r="X63" s="5">
        <v>329.5</v>
      </c>
      <c r="Y63" s="5">
        <v>-0.8</v>
      </c>
    </row>
    <row r="64" spans="1:25" x14ac:dyDescent="0.3">
      <c r="A64" s="2" cm="1">
        <f t="array" ref="A64">CountByColumnLogic(E64:Z64)</f>
        <v>12</v>
      </c>
      <c r="B64" s="5" t="s">
        <v>87</v>
      </c>
      <c r="C64" s="5" t="s">
        <v>266</v>
      </c>
      <c r="D64" s="8" t="s">
        <v>294</v>
      </c>
      <c r="E64" s="5">
        <v>10.7</v>
      </c>
      <c r="F64" s="5">
        <v>12</v>
      </c>
      <c r="G64" s="5">
        <v>66.8</v>
      </c>
      <c r="H64" s="5">
        <v>68</v>
      </c>
      <c r="I64" s="5">
        <v>13</v>
      </c>
      <c r="J64" s="6">
        <v>0.34379999999999999</v>
      </c>
      <c r="K64" s="6">
        <v>0.35930000000000001</v>
      </c>
      <c r="L64" s="5">
        <v>7</v>
      </c>
      <c r="M64" s="5">
        <v>215.8</v>
      </c>
      <c r="N64" s="5">
        <v>212.5</v>
      </c>
      <c r="O64" s="6">
        <v>0.72729999999999995</v>
      </c>
      <c r="P64" s="6">
        <v>0.78949999999999998</v>
      </c>
      <c r="Q64" s="5">
        <v>126.9</v>
      </c>
      <c r="R64" s="5">
        <v>102.1</v>
      </c>
      <c r="S64" s="5">
        <v>20.7</v>
      </c>
      <c r="T64" s="5">
        <v>20.100000000000001</v>
      </c>
      <c r="U64" s="5">
        <v>-0.6</v>
      </c>
      <c r="V64" s="5">
        <v>128.1</v>
      </c>
      <c r="W64" s="5">
        <v>339.4</v>
      </c>
      <c r="X64" s="5">
        <v>317.8</v>
      </c>
      <c r="Y64" s="5">
        <v>0.6</v>
      </c>
    </row>
    <row r="65" spans="1:25" x14ac:dyDescent="0.3">
      <c r="A65" s="2" cm="1">
        <f t="array" ref="A65">CountByColumnLogic(E65:Z65)</f>
        <v>15</v>
      </c>
      <c r="B65" s="5" t="s">
        <v>83</v>
      </c>
      <c r="C65" s="5" t="s">
        <v>280</v>
      </c>
      <c r="D65" s="8" t="s">
        <v>287</v>
      </c>
      <c r="E65" s="5">
        <v>-10.7</v>
      </c>
      <c r="F65" s="5">
        <v>126</v>
      </c>
      <c r="G65" s="5">
        <v>30</v>
      </c>
      <c r="H65" s="5">
        <v>92</v>
      </c>
      <c r="I65" s="5">
        <v>122</v>
      </c>
      <c r="J65" s="6">
        <v>0.37840000000000001</v>
      </c>
      <c r="K65" s="6">
        <v>0.45629999999999998</v>
      </c>
      <c r="L65" s="5">
        <v>6.4</v>
      </c>
      <c r="M65" s="5">
        <v>195.4</v>
      </c>
      <c r="N65" s="5">
        <v>202.6</v>
      </c>
      <c r="O65" s="6">
        <v>0.85709999999999997</v>
      </c>
      <c r="P65" s="6">
        <v>0.86839999999999995</v>
      </c>
      <c r="Q65" s="5">
        <v>179.2</v>
      </c>
      <c r="R65" s="5">
        <v>193.3</v>
      </c>
      <c r="S65" s="5">
        <v>28.3</v>
      </c>
      <c r="T65" s="5">
        <v>25.4</v>
      </c>
      <c r="U65" s="5">
        <v>-2.9</v>
      </c>
      <c r="V65" s="5">
        <v>118.7</v>
      </c>
      <c r="W65" s="5">
        <v>381.8</v>
      </c>
      <c r="X65" s="5">
        <v>388.6</v>
      </c>
      <c r="Y65" s="5">
        <v>-0.8</v>
      </c>
    </row>
    <row r="66" spans="1:25" x14ac:dyDescent="0.3">
      <c r="A66" s="2" cm="1">
        <f t="array" ref="A66">CountByColumnLogic(E66:Z66)</f>
        <v>15</v>
      </c>
      <c r="B66" s="5" t="s">
        <v>84</v>
      </c>
      <c r="C66" s="5" t="s">
        <v>276</v>
      </c>
      <c r="D66" s="8" t="s">
        <v>298</v>
      </c>
      <c r="E66" s="5">
        <v>-10.6</v>
      </c>
      <c r="F66" s="5">
        <v>104</v>
      </c>
      <c r="G66" s="5">
        <v>28.2</v>
      </c>
      <c r="H66" s="5">
        <v>112</v>
      </c>
      <c r="I66" s="5">
        <v>103</v>
      </c>
      <c r="J66" s="6">
        <v>0.4088</v>
      </c>
      <c r="K66" s="6">
        <v>0.43480000000000002</v>
      </c>
      <c r="L66" s="5">
        <v>5.9</v>
      </c>
      <c r="M66" s="5">
        <v>167.4</v>
      </c>
      <c r="N66" s="5">
        <v>226.8</v>
      </c>
      <c r="O66" s="6">
        <v>0.79549999999999998</v>
      </c>
      <c r="P66" s="6">
        <v>0.85</v>
      </c>
      <c r="Q66" s="5">
        <v>198.6</v>
      </c>
      <c r="R66" s="5">
        <v>172.8</v>
      </c>
      <c r="S66" s="5">
        <v>30.8</v>
      </c>
      <c r="T66" s="5">
        <v>25.3</v>
      </c>
      <c r="U66" s="5">
        <v>-5.5</v>
      </c>
      <c r="V66" s="5">
        <v>109.4</v>
      </c>
      <c r="W66" s="5">
        <v>425.3</v>
      </c>
      <c r="X66" s="5">
        <v>340.2</v>
      </c>
      <c r="Y66" s="5">
        <v>-0.3</v>
      </c>
    </row>
    <row r="67" spans="1:25" x14ac:dyDescent="0.3">
      <c r="A67" s="2" cm="1">
        <f t="array" ref="A67">CountByColumnLogic(E67:Z67)</f>
        <v>17</v>
      </c>
      <c r="B67" s="5" t="s">
        <v>85</v>
      </c>
      <c r="C67" s="5" t="s">
        <v>280</v>
      </c>
      <c r="D67" s="8" t="s">
        <v>291</v>
      </c>
      <c r="E67" s="5">
        <v>-6.2</v>
      </c>
      <c r="F67" s="5">
        <v>127</v>
      </c>
      <c r="G67" s="5">
        <v>46</v>
      </c>
      <c r="H67" s="5">
        <v>101</v>
      </c>
      <c r="I67" s="5">
        <v>57</v>
      </c>
      <c r="J67" s="6">
        <v>0.41670000000000001</v>
      </c>
      <c r="K67" s="6">
        <v>0.37719999999999998</v>
      </c>
      <c r="L67" s="5">
        <v>8</v>
      </c>
      <c r="M67" s="5">
        <v>167</v>
      </c>
      <c r="N67" s="5">
        <v>248</v>
      </c>
      <c r="O67" s="6">
        <v>0.73680000000000001</v>
      </c>
      <c r="P67" s="6">
        <v>0.8</v>
      </c>
      <c r="Q67" s="5">
        <v>135.30000000000001</v>
      </c>
      <c r="R67" s="5">
        <v>200.6</v>
      </c>
      <c r="S67" s="5">
        <v>22.5</v>
      </c>
      <c r="T67" s="5">
        <v>27.6</v>
      </c>
      <c r="U67" s="5">
        <v>5.0999999999999996</v>
      </c>
      <c r="V67" s="5">
        <v>120.2</v>
      </c>
      <c r="W67" s="5">
        <v>383.3</v>
      </c>
      <c r="X67" s="5">
        <v>367.6</v>
      </c>
      <c r="Y67" s="5">
        <v>0.4</v>
      </c>
    </row>
    <row r="68" spans="1:25" x14ac:dyDescent="0.3">
      <c r="A68" s="2" cm="1">
        <f t="array" ref="A68">CountByColumnLogic(E68:Z68)</f>
        <v>13</v>
      </c>
      <c r="B68" s="5" t="s">
        <v>86</v>
      </c>
      <c r="C68" s="5" t="s">
        <v>267</v>
      </c>
      <c r="D68" s="8" t="s">
        <v>292</v>
      </c>
      <c r="E68" s="5">
        <v>10.199999999999999</v>
      </c>
      <c r="F68" s="5">
        <v>53</v>
      </c>
      <c r="G68" s="5">
        <v>71.8</v>
      </c>
      <c r="H68" s="5">
        <v>51</v>
      </c>
      <c r="I68" s="5">
        <v>18</v>
      </c>
      <c r="J68" s="6">
        <v>0.33539999999999998</v>
      </c>
      <c r="K68" s="6">
        <v>0.34129999999999999</v>
      </c>
      <c r="L68" s="5">
        <v>6.5</v>
      </c>
      <c r="M68" s="5">
        <v>212.9</v>
      </c>
      <c r="N68" s="5">
        <v>198.2</v>
      </c>
      <c r="O68" s="6">
        <v>0.81820000000000004</v>
      </c>
      <c r="P68" s="6">
        <v>0.82050000000000001</v>
      </c>
      <c r="Q68" s="5">
        <v>117.7</v>
      </c>
      <c r="R68" s="5">
        <v>158.5</v>
      </c>
      <c r="S68" s="5">
        <v>21.5</v>
      </c>
      <c r="T68" s="5">
        <v>28.2</v>
      </c>
      <c r="U68" s="5">
        <v>6.7</v>
      </c>
      <c r="V68" s="5">
        <v>130.80000000000001</v>
      </c>
      <c r="W68" s="5">
        <v>315.8</v>
      </c>
      <c r="X68" s="5">
        <v>371.4</v>
      </c>
      <c r="Y68" s="5">
        <v>0.5</v>
      </c>
    </row>
    <row r="69" spans="1:25" x14ac:dyDescent="0.3">
      <c r="A69" s="2" cm="1">
        <f t="array" ref="A69">CountByColumnLogic(E69:Z69)</f>
        <v>15</v>
      </c>
      <c r="B69" s="5" t="s">
        <v>88</v>
      </c>
      <c r="C69" s="5" t="s">
        <v>276</v>
      </c>
      <c r="D69" s="8" t="s">
        <v>288</v>
      </c>
      <c r="E69" s="5">
        <v>-5.8</v>
      </c>
      <c r="F69" s="5">
        <v>93</v>
      </c>
      <c r="G69" s="5">
        <v>41.7</v>
      </c>
      <c r="H69" s="5">
        <v>84</v>
      </c>
      <c r="I69" s="5">
        <v>90</v>
      </c>
      <c r="J69" s="6">
        <v>0.34899999999999998</v>
      </c>
      <c r="K69" s="6">
        <v>0.41760000000000003</v>
      </c>
      <c r="L69" s="5">
        <v>6.7</v>
      </c>
      <c r="M69" s="5">
        <v>216.5</v>
      </c>
      <c r="N69" s="5">
        <v>277.2</v>
      </c>
      <c r="O69" s="6">
        <v>0.82220000000000004</v>
      </c>
      <c r="P69" s="6">
        <v>0.85709999999999997</v>
      </c>
      <c r="Q69" s="5">
        <v>161.69999999999999</v>
      </c>
      <c r="R69" s="5">
        <v>191.6</v>
      </c>
      <c r="S69" s="5">
        <v>32.4</v>
      </c>
      <c r="T69" s="5">
        <v>30.1</v>
      </c>
      <c r="U69" s="5">
        <v>-2.2999999999999998</v>
      </c>
      <c r="V69" s="5">
        <v>140.4</v>
      </c>
      <c r="W69" s="5">
        <v>438.9</v>
      </c>
      <c r="X69" s="5">
        <v>408.1</v>
      </c>
      <c r="Y69" s="5">
        <v>0.5</v>
      </c>
    </row>
    <row r="70" spans="1:25" x14ac:dyDescent="0.3">
      <c r="A70" s="2" cm="1">
        <f t="array" ref="A70">CountByColumnLogic(E70:Z70)</f>
        <v>16</v>
      </c>
      <c r="B70" s="5" t="s">
        <v>89</v>
      </c>
      <c r="C70" s="5" t="s">
        <v>268</v>
      </c>
      <c r="D70" s="8" t="s">
        <v>287</v>
      </c>
      <c r="E70" s="5">
        <v>-1.7</v>
      </c>
      <c r="F70" s="5">
        <v>52</v>
      </c>
      <c r="G70" s="5">
        <v>48.9</v>
      </c>
      <c r="H70" s="5">
        <v>93</v>
      </c>
      <c r="I70" s="5">
        <v>50</v>
      </c>
      <c r="J70" s="6">
        <v>0.37340000000000001</v>
      </c>
      <c r="K70" s="6">
        <v>0.45219999999999999</v>
      </c>
      <c r="L70" s="5">
        <v>5.8</v>
      </c>
      <c r="M70" s="5">
        <v>253.8</v>
      </c>
      <c r="N70" s="5">
        <v>226.2</v>
      </c>
      <c r="O70" s="6">
        <v>0.81820000000000004</v>
      </c>
      <c r="P70" s="6">
        <v>0.7742</v>
      </c>
      <c r="Q70" s="5">
        <v>186.9</v>
      </c>
      <c r="R70" s="5">
        <v>101.3</v>
      </c>
      <c r="S70" s="5">
        <v>27.4</v>
      </c>
      <c r="T70" s="5">
        <v>21.6</v>
      </c>
      <c r="U70" s="5">
        <v>-5.7</v>
      </c>
      <c r="V70" s="5">
        <v>116.4</v>
      </c>
      <c r="W70" s="5">
        <v>413.1</v>
      </c>
      <c r="X70" s="5">
        <v>355.1</v>
      </c>
      <c r="Y70" s="5">
        <v>0.5</v>
      </c>
    </row>
    <row r="71" spans="1:25" x14ac:dyDescent="0.3">
      <c r="A71" s="2" cm="1">
        <f t="array" ref="A71">CountByColumnLogic(E71:Z71)</f>
        <v>19</v>
      </c>
      <c r="B71" s="5" t="s">
        <v>90</v>
      </c>
      <c r="C71" s="5" t="s">
        <v>275</v>
      </c>
      <c r="D71" s="8" t="s">
        <v>305</v>
      </c>
      <c r="E71" s="5">
        <v>-30.5</v>
      </c>
      <c r="F71" s="5">
        <v>95</v>
      </c>
      <c r="G71" s="5">
        <v>5</v>
      </c>
      <c r="H71" s="5">
        <v>135</v>
      </c>
      <c r="I71" s="5">
        <v>136</v>
      </c>
      <c r="J71" s="6">
        <v>0.29189999999999999</v>
      </c>
      <c r="K71" s="6">
        <v>0.48180000000000001</v>
      </c>
      <c r="L71" s="5">
        <v>4.8</v>
      </c>
      <c r="M71" s="5">
        <v>156.69999999999999</v>
      </c>
      <c r="N71" s="5">
        <v>202.9</v>
      </c>
      <c r="O71" s="6">
        <v>0.88239999999999996</v>
      </c>
      <c r="P71" s="6">
        <v>0.61899999999999999</v>
      </c>
      <c r="Q71" s="5">
        <v>234.1</v>
      </c>
      <c r="R71" s="5">
        <v>80.7</v>
      </c>
      <c r="S71" s="5">
        <v>39.6</v>
      </c>
      <c r="T71" s="5">
        <v>9.6999999999999993</v>
      </c>
      <c r="U71" s="5">
        <v>-29.9</v>
      </c>
      <c r="V71" s="5">
        <v>93.5</v>
      </c>
      <c r="W71" s="5">
        <v>437</v>
      </c>
      <c r="X71" s="5">
        <v>237.5</v>
      </c>
      <c r="Y71" s="5">
        <v>-0.7</v>
      </c>
    </row>
    <row r="72" spans="1:25" x14ac:dyDescent="0.3">
      <c r="A72" s="2" cm="1">
        <f t="array" ref="A72">CountByColumnLogic(E72:Z72)</f>
        <v>12</v>
      </c>
      <c r="B72" s="5" t="s">
        <v>91</v>
      </c>
      <c r="C72" s="5" t="s">
        <v>278</v>
      </c>
      <c r="D72" s="8" t="s">
        <v>291</v>
      </c>
      <c r="E72" s="5">
        <v>3.4</v>
      </c>
      <c r="F72" s="5">
        <v>102</v>
      </c>
      <c r="G72" s="5">
        <v>54.9</v>
      </c>
      <c r="H72" s="5">
        <v>49</v>
      </c>
      <c r="I72" s="5">
        <v>74</v>
      </c>
      <c r="J72" s="6">
        <v>0.4088</v>
      </c>
      <c r="K72" s="6">
        <v>0.41760000000000003</v>
      </c>
      <c r="L72" s="5">
        <v>5.8</v>
      </c>
      <c r="M72" s="5">
        <v>230.8</v>
      </c>
      <c r="N72" s="5">
        <v>236.6</v>
      </c>
      <c r="O72" s="6">
        <v>0.77139999999999997</v>
      </c>
      <c r="P72" s="6">
        <v>0.93330000000000002</v>
      </c>
      <c r="Q72" s="5">
        <v>133.30000000000001</v>
      </c>
      <c r="R72" s="5">
        <v>178.7</v>
      </c>
      <c r="S72" s="5">
        <v>24.3</v>
      </c>
      <c r="T72" s="5">
        <v>31.4</v>
      </c>
      <c r="U72" s="5">
        <v>7.2</v>
      </c>
      <c r="V72" s="5">
        <v>136.80000000000001</v>
      </c>
      <c r="W72" s="5">
        <v>369.8</v>
      </c>
      <c r="X72" s="5">
        <v>409.5</v>
      </c>
      <c r="Y72" s="5">
        <v>0.5</v>
      </c>
    </row>
    <row r="73" spans="1:25" x14ac:dyDescent="0.3">
      <c r="A73" s="2" cm="1">
        <f t="array" ref="A73">CountByColumnLogic(E73:Z73)</f>
        <v>15</v>
      </c>
      <c r="B73" s="5" t="s">
        <v>93</v>
      </c>
      <c r="C73" s="5" t="s">
        <v>275</v>
      </c>
      <c r="D73" s="8" t="s">
        <v>306</v>
      </c>
      <c r="E73" s="5">
        <v>-5.7</v>
      </c>
      <c r="F73" s="5">
        <v>120</v>
      </c>
      <c r="G73" s="5">
        <v>43</v>
      </c>
      <c r="H73" s="5">
        <v>100</v>
      </c>
      <c r="I73" s="5">
        <v>67</v>
      </c>
      <c r="J73" s="6">
        <v>0.34970000000000001</v>
      </c>
      <c r="K73" s="6">
        <v>0.44740000000000002</v>
      </c>
      <c r="L73" s="5">
        <v>5.5</v>
      </c>
      <c r="M73" s="5">
        <v>185.7</v>
      </c>
      <c r="N73" s="5">
        <v>208.7</v>
      </c>
      <c r="O73" s="6">
        <v>0.82220000000000004</v>
      </c>
      <c r="P73" s="6">
        <v>0.90629999999999999</v>
      </c>
      <c r="Q73" s="5">
        <v>140.19999999999999</v>
      </c>
      <c r="R73" s="5">
        <v>141.5</v>
      </c>
      <c r="S73" s="5">
        <v>23.4</v>
      </c>
      <c r="T73" s="5">
        <v>22.4</v>
      </c>
      <c r="U73" s="5">
        <v>-1</v>
      </c>
      <c r="V73" s="5">
        <v>115.4</v>
      </c>
      <c r="W73" s="5">
        <v>348.8</v>
      </c>
      <c r="X73" s="5">
        <v>327.2</v>
      </c>
      <c r="Y73" s="5">
        <v>0.2</v>
      </c>
    </row>
    <row r="74" spans="1:25" x14ac:dyDescent="0.3">
      <c r="A74" s="2" cm="1">
        <f t="array" ref="A74">CountByColumnLogic(E74:Z74)</f>
        <v>6</v>
      </c>
      <c r="B74" s="5" t="s">
        <v>282</v>
      </c>
      <c r="C74" s="5" t="s">
        <v>267</v>
      </c>
      <c r="D74" s="8" t="s">
        <v>307</v>
      </c>
      <c r="E74" s="5">
        <v>22.4</v>
      </c>
      <c r="F74" s="5">
        <v>7</v>
      </c>
      <c r="G74" s="5">
        <v>86.4</v>
      </c>
      <c r="H74" s="5">
        <v>12</v>
      </c>
      <c r="I74" s="5">
        <v>4</v>
      </c>
      <c r="J74" s="6">
        <v>0.4536</v>
      </c>
      <c r="K74" s="6">
        <v>0.32179999999999997</v>
      </c>
      <c r="L74" s="5">
        <v>7.2</v>
      </c>
      <c r="M74" s="5">
        <v>247.1</v>
      </c>
      <c r="N74" s="5">
        <v>211.9</v>
      </c>
      <c r="O74" s="6">
        <v>0.82350000000000001</v>
      </c>
      <c r="P74" s="6">
        <v>0.89470000000000005</v>
      </c>
      <c r="Q74" s="5">
        <v>89.1</v>
      </c>
      <c r="R74" s="5">
        <v>147.9</v>
      </c>
      <c r="S74" s="5">
        <v>15.6</v>
      </c>
      <c r="T74" s="5">
        <v>30</v>
      </c>
      <c r="U74" s="5">
        <v>14.4</v>
      </c>
      <c r="V74" s="5">
        <v>154.69999999999999</v>
      </c>
      <c r="W74" s="5">
        <v>301</v>
      </c>
      <c r="X74" s="5">
        <v>395</v>
      </c>
      <c r="Y74" s="5">
        <v>0.5</v>
      </c>
    </row>
    <row r="75" spans="1:25" x14ac:dyDescent="0.3">
      <c r="A75" s="2" cm="1">
        <f t="array" ref="A75">CountByColumnLogic(E75:Z75)</f>
        <v>16</v>
      </c>
      <c r="B75" s="5" t="s">
        <v>94</v>
      </c>
      <c r="C75" s="5" t="s">
        <v>268</v>
      </c>
      <c r="D75" s="8" t="s">
        <v>287</v>
      </c>
      <c r="E75" s="5">
        <v>0.8</v>
      </c>
      <c r="F75" s="5">
        <v>25</v>
      </c>
      <c r="G75" s="5">
        <v>48.9</v>
      </c>
      <c r="H75" s="5">
        <v>65</v>
      </c>
      <c r="I75" s="5">
        <v>73</v>
      </c>
      <c r="J75" s="6">
        <v>0.33110000000000001</v>
      </c>
      <c r="K75" s="6">
        <v>0.41610000000000003</v>
      </c>
      <c r="L75" s="5">
        <v>5.6</v>
      </c>
      <c r="M75" s="5">
        <v>218.4</v>
      </c>
      <c r="N75" s="5">
        <v>230.4</v>
      </c>
      <c r="O75" s="6">
        <v>0.86050000000000004</v>
      </c>
      <c r="P75" s="6">
        <v>0.89190000000000003</v>
      </c>
      <c r="Q75" s="5">
        <v>152.30000000000001</v>
      </c>
      <c r="R75" s="5">
        <v>118.2</v>
      </c>
      <c r="S75" s="5">
        <v>30.5</v>
      </c>
      <c r="T75" s="5">
        <v>23.1</v>
      </c>
      <c r="U75" s="5">
        <v>-7.4</v>
      </c>
      <c r="V75" s="5">
        <v>135.4</v>
      </c>
      <c r="W75" s="5">
        <v>382.6</v>
      </c>
      <c r="X75" s="5">
        <v>336.5</v>
      </c>
      <c r="Y75" s="5">
        <v>-0.3</v>
      </c>
    </row>
    <row r="76" spans="1:25" x14ac:dyDescent="0.3">
      <c r="A76" s="2" cm="1">
        <f t="array" ref="A76">CountByColumnLogic(E76:Z76)</f>
        <v>11</v>
      </c>
      <c r="B76" s="5" t="s">
        <v>95</v>
      </c>
      <c r="C76" s="5" t="s">
        <v>268</v>
      </c>
      <c r="D76" s="8" t="s">
        <v>292</v>
      </c>
      <c r="E76" s="5">
        <v>14.2</v>
      </c>
      <c r="F76" s="5">
        <v>24</v>
      </c>
      <c r="G76" s="5">
        <v>73.5</v>
      </c>
      <c r="H76" s="5">
        <v>17</v>
      </c>
      <c r="I76" s="5">
        <v>37</v>
      </c>
      <c r="J76" s="6">
        <v>0.43640000000000001</v>
      </c>
      <c r="K76" s="6">
        <v>0.37430000000000002</v>
      </c>
      <c r="L76" s="5">
        <v>4.4000000000000004</v>
      </c>
      <c r="M76" s="5">
        <v>186.8</v>
      </c>
      <c r="N76" s="5">
        <v>211.4</v>
      </c>
      <c r="O76" s="6">
        <v>0.84619999999999995</v>
      </c>
      <c r="P76" s="6">
        <v>0.78849999999999998</v>
      </c>
      <c r="Q76" s="5">
        <v>112.2</v>
      </c>
      <c r="R76" s="5">
        <v>211.2</v>
      </c>
      <c r="S76" s="5">
        <v>20.399999999999999</v>
      </c>
      <c r="T76" s="5">
        <v>27.5</v>
      </c>
      <c r="U76" s="5">
        <v>7.2</v>
      </c>
      <c r="V76" s="5">
        <v>124.2</v>
      </c>
      <c r="W76" s="5">
        <v>323.5</v>
      </c>
      <c r="X76" s="5">
        <v>397.9</v>
      </c>
      <c r="Y76" s="5">
        <v>0.2</v>
      </c>
    </row>
    <row r="77" spans="1:25" x14ac:dyDescent="0.3">
      <c r="A77" s="2" cm="1">
        <f t="array" ref="A77">CountByColumnLogic(E77:Z77)</f>
        <v>17</v>
      </c>
      <c r="B77" s="5" t="s">
        <v>96</v>
      </c>
      <c r="C77" s="5" t="s">
        <v>280</v>
      </c>
      <c r="D77" s="8" t="s">
        <v>299</v>
      </c>
      <c r="E77" s="5">
        <v>-18</v>
      </c>
      <c r="F77" s="5">
        <v>134</v>
      </c>
      <c r="G77" s="5">
        <v>19.5</v>
      </c>
      <c r="H77" s="5">
        <v>114</v>
      </c>
      <c r="I77" s="5">
        <v>127</v>
      </c>
      <c r="J77" s="6">
        <v>0.3926</v>
      </c>
      <c r="K77" s="6">
        <v>0.38890000000000002</v>
      </c>
      <c r="L77" s="5">
        <v>7.6</v>
      </c>
      <c r="M77" s="5">
        <v>280.89999999999998</v>
      </c>
      <c r="N77" s="5">
        <v>261.89999999999998</v>
      </c>
      <c r="O77" s="6">
        <v>0.89739999999999998</v>
      </c>
      <c r="P77" s="6">
        <v>0.76319999999999999</v>
      </c>
      <c r="Q77" s="5">
        <v>144.5</v>
      </c>
      <c r="R77" s="5">
        <v>110.5</v>
      </c>
      <c r="S77" s="5">
        <v>30.6</v>
      </c>
      <c r="T77" s="5">
        <v>23.2</v>
      </c>
      <c r="U77" s="5">
        <v>-7.5</v>
      </c>
      <c r="V77" s="5">
        <v>129.80000000000001</v>
      </c>
      <c r="W77" s="5">
        <v>406.5</v>
      </c>
      <c r="X77" s="5">
        <v>391.5</v>
      </c>
      <c r="Y77" s="5">
        <v>0.2</v>
      </c>
    </row>
    <row r="78" spans="1:25" x14ac:dyDescent="0.3">
      <c r="A78" s="2" cm="1">
        <f t="array" ref="A78">CountByColumnLogic(E78:Z78)</f>
        <v>16</v>
      </c>
      <c r="B78" s="5" t="s">
        <v>97</v>
      </c>
      <c r="C78" s="5" t="s">
        <v>268</v>
      </c>
      <c r="D78" s="8" t="s">
        <v>291</v>
      </c>
      <c r="E78" s="5">
        <v>1.1000000000000001</v>
      </c>
      <c r="F78" s="5">
        <v>40</v>
      </c>
      <c r="G78" s="5">
        <v>50.1</v>
      </c>
      <c r="H78" s="5">
        <v>75</v>
      </c>
      <c r="I78" s="5">
        <v>62</v>
      </c>
      <c r="J78" s="6">
        <v>0.4037</v>
      </c>
      <c r="K78" s="6">
        <v>0.4194</v>
      </c>
      <c r="L78" s="5">
        <v>3.8</v>
      </c>
      <c r="M78" s="5">
        <v>186.9</v>
      </c>
      <c r="N78" s="5">
        <v>226.2</v>
      </c>
      <c r="O78" s="6">
        <v>0.88639999999999997</v>
      </c>
      <c r="P78" s="6">
        <v>0.89190000000000003</v>
      </c>
      <c r="Q78" s="5">
        <v>130.30000000000001</v>
      </c>
      <c r="R78" s="5">
        <v>90.6</v>
      </c>
      <c r="S78" s="5">
        <v>24.8</v>
      </c>
      <c r="T78" s="5">
        <v>19.399999999999999</v>
      </c>
      <c r="U78" s="5">
        <v>-5.4</v>
      </c>
      <c r="V78" s="5">
        <v>123.2</v>
      </c>
      <c r="W78" s="5">
        <v>356.4</v>
      </c>
      <c r="X78" s="5">
        <v>277.5</v>
      </c>
      <c r="Y78" s="5">
        <v>0.4</v>
      </c>
    </row>
    <row r="79" spans="1:25" x14ac:dyDescent="0.3">
      <c r="A79" s="2" cm="1">
        <f t="array" ref="A79">CountByColumnLogic(E79:Z79)</f>
        <v>14</v>
      </c>
      <c r="B79" s="5" t="s">
        <v>98</v>
      </c>
      <c r="C79" s="5" t="s">
        <v>266</v>
      </c>
      <c r="D79" s="8" t="s">
        <v>290</v>
      </c>
      <c r="E79" s="5">
        <v>3.4</v>
      </c>
      <c r="F79" s="5">
        <v>21</v>
      </c>
      <c r="G79" s="5">
        <v>57</v>
      </c>
      <c r="H79" s="5">
        <v>56</v>
      </c>
      <c r="I79" s="5">
        <v>64</v>
      </c>
      <c r="J79" s="6">
        <v>0.4098</v>
      </c>
      <c r="K79" s="6">
        <v>0.42520000000000002</v>
      </c>
      <c r="L79" s="5">
        <v>7</v>
      </c>
      <c r="M79" s="5">
        <v>242.3</v>
      </c>
      <c r="N79" s="5">
        <v>233.8</v>
      </c>
      <c r="O79" s="6">
        <v>0.83720000000000006</v>
      </c>
      <c r="P79" s="6">
        <v>0.86960000000000004</v>
      </c>
      <c r="Q79" s="5">
        <v>196.6</v>
      </c>
      <c r="R79" s="5">
        <v>147.30000000000001</v>
      </c>
      <c r="S79" s="5">
        <v>32.799999999999997</v>
      </c>
      <c r="T79" s="5">
        <v>27.7</v>
      </c>
      <c r="U79" s="5">
        <v>-5.0999999999999996</v>
      </c>
      <c r="V79" s="5">
        <v>138.6</v>
      </c>
      <c r="W79" s="5">
        <v>430.4</v>
      </c>
      <c r="X79" s="5">
        <v>389.6</v>
      </c>
      <c r="Y79" s="5">
        <v>0.1</v>
      </c>
    </row>
    <row r="80" spans="1:25" x14ac:dyDescent="0.3">
      <c r="A80" s="2" cm="1">
        <f t="array" ref="A80">CountByColumnLogic(E80:Z80)</f>
        <v>17</v>
      </c>
      <c r="B80" s="5" t="s">
        <v>283</v>
      </c>
      <c r="C80" s="5" t="s">
        <v>280</v>
      </c>
      <c r="D80" s="8" t="s">
        <v>294</v>
      </c>
      <c r="E80" s="5">
        <v>-11.5</v>
      </c>
      <c r="F80" s="5">
        <v>101</v>
      </c>
      <c r="G80" s="5">
        <v>33.799999999999997</v>
      </c>
      <c r="H80" s="5">
        <v>74</v>
      </c>
      <c r="I80" s="5">
        <v>113</v>
      </c>
      <c r="J80" s="6">
        <v>0.35399999999999998</v>
      </c>
      <c r="K80" s="6">
        <v>0.40629999999999999</v>
      </c>
      <c r="L80" s="5">
        <v>7.3</v>
      </c>
      <c r="M80" s="5">
        <v>279.10000000000002</v>
      </c>
      <c r="N80" s="5">
        <v>236.1</v>
      </c>
      <c r="O80" s="6">
        <v>0.85709999999999997</v>
      </c>
      <c r="P80" s="6">
        <v>0.82050000000000001</v>
      </c>
      <c r="Q80" s="5">
        <v>160.5</v>
      </c>
      <c r="R80" s="5">
        <v>111</v>
      </c>
      <c r="S80" s="5">
        <v>30.3</v>
      </c>
      <c r="T80" s="5">
        <v>24.3</v>
      </c>
      <c r="U80" s="5">
        <v>-6.1</v>
      </c>
      <c r="V80" s="5">
        <v>150.1</v>
      </c>
      <c r="W80" s="5">
        <v>396.6</v>
      </c>
      <c r="X80" s="5">
        <v>390.1</v>
      </c>
      <c r="Y80" s="5">
        <v>-0.3</v>
      </c>
    </row>
    <row r="81" spans="1:25" x14ac:dyDescent="0.3">
      <c r="A81" s="2" cm="1">
        <f t="array" ref="A81">CountByColumnLogic(E81:Z81)</f>
        <v>11</v>
      </c>
      <c r="B81" s="5" t="s">
        <v>99</v>
      </c>
      <c r="C81" s="5" t="s">
        <v>266</v>
      </c>
      <c r="D81" s="8" t="s">
        <v>291</v>
      </c>
      <c r="E81" s="5">
        <v>13.1</v>
      </c>
      <c r="F81" s="5">
        <v>32</v>
      </c>
      <c r="G81" s="5">
        <v>69.8</v>
      </c>
      <c r="H81" s="5">
        <v>44</v>
      </c>
      <c r="I81" s="5">
        <v>20</v>
      </c>
      <c r="J81" s="6">
        <v>0.42680000000000001</v>
      </c>
      <c r="K81" s="6">
        <v>0.36780000000000002</v>
      </c>
      <c r="L81" s="5">
        <v>5.3</v>
      </c>
      <c r="M81" s="5">
        <v>175.3</v>
      </c>
      <c r="N81" s="5">
        <v>181.8</v>
      </c>
      <c r="O81" s="6">
        <v>0.88239999999999996</v>
      </c>
      <c r="P81" s="6">
        <v>0.84440000000000004</v>
      </c>
      <c r="Q81" s="5">
        <v>99.8</v>
      </c>
      <c r="R81" s="5">
        <v>229.1</v>
      </c>
      <c r="S81" s="5">
        <v>20</v>
      </c>
      <c r="T81" s="5">
        <v>27.7</v>
      </c>
      <c r="U81" s="5">
        <v>7.7</v>
      </c>
      <c r="V81" s="5">
        <v>120.4</v>
      </c>
      <c r="W81" s="5">
        <v>281.60000000000002</v>
      </c>
      <c r="X81" s="5">
        <v>404.3</v>
      </c>
      <c r="Y81" s="5">
        <v>-0.6</v>
      </c>
    </row>
    <row r="82" spans="1:25" x14ac:dyDescent="0.3">
      <c r="A82" s="2" cm="1">
        <f t="array" ref="A82">CountByColumnLogic(E82:Z82)</f>
        <v>14</v>
      </c>
      <c r="B82" s="5" t="s">
        <v>101</v>
      </c>
      <c r="C82" s="5" t="s">
        <v>267</v>
      </c>
      <c r="D82" s="8" t="s">
        <v>291</v>
      </c>
      <c r="E82" s="5">
        <v>5.2</v>
      </c>
      <c r="F82" s="5">
        <v>34</v>
      </c>
      <c r="G82" s="5">
        <v>64.7</v>
      </c>
      <c r="H82" s="5">
        <v>13</v>
      </c>
      <c r="I82" s="5">
        <v>69</v>
      </c>
      <c r="J82" s="6">
        <v>0.41139999999999999</v>
      </c>
      <c r="K82" s="6">
        <v>0.47620000000000001</v>
      </c>
      <c r="L82" s="5">
        <v>5.4</v>
      </c>
      <c r="M82" s="5">
        <v>235.3</v>
      </c>
      <c r="N82" s="5">
        <v>285.8</v>
      </c>
      <c r="O82" s="6">
        <v>0.8367</v>
      </c>
      <c r="P82" s="6">
        <v>0.89739999999999998</v>
      </c>
      <c r="Q82" s="5">
        <v>144.80000000000001</v>
      </c>
      <c r="R82" s="5">
        <v>139.1</v>
      </c>
      <c r="S82" s="5">
        <v>28.6</v>
      </c>
      <c r="T82" s="5">
        <v>28.1</v>
      </c>
      <c r="U82" s="5">
        <v>-0.5</v>
      </c>
      <c r="V82" s="5">
        <v>144.30000000000001</v>
      </c>
      <c r="W82" s="5">
        <v>430.6</v>
      </c>
      <c r="X82" s="5">
        <v>374.3</v>
      </c>
      <c r="Y82" s="5">
        <v>0.3</v>
      </c>
    </row>
    <row r="83" spans="1:25" x14ac:dyDescent="0.3">
      <c r="A83" s="2" cm="1">
        <f t="array" ref="A83">CountByColumnLogic(E83:Z83)</f>
        <v>13</v>
      </c>
      <c r="B83" s="5" t="s">
        <v>100</v>
      </c>
      <c r="C83" s="5" t="s">
        <v>278</v>
      </c>
      <c r="D83" s="8" t="s">
        <v>308</v>
      </c>
      <c r="E83" s="5">
        <v>0.5</v>
      </c>
      <c r="F83" s="5">
        <v>75</v>
      </c>
      <c r="G83" s="5">
        <v>58</v>
      </c>
      <c r="H83" s="5">
        <v>30</v>
      </c>
      <c r="I83" s="5">
        <v>89</v>
      </c>
      <c r="J83" s="6">
        <v>0.49669999999999997</v>
      </c>
      <c r="K83" s="6">
        <v>0.40260000000000001</v>
      </c>
      <c r="L83" s="5">
        <v>5.8</v>
      </c>
      <c r="M83" s="5">
        <v>133.19999999999999</v>
      </c>
      <c r="N83" s="5">
        <v>232.8</v>
      </c>
      <c r="O83" s="6">
        <v>0.8478</v>
      </c>
      <c r="P83" s="6">
        <v>0.875</v>
      </c>
      <c r="Q83" s="5">
        <v>151.80000000000001</v>
      </c>
      <c r="R83" s="5">
        <v>270.8</v>
      </c>
      <c r="S83" s="5">
        <v>26.5</v>
      </c>
      <c r="T83" s="5">
        <v>29.8</v>
      </c>
      <c r="U83" s="5">
        <v>3.3</v>
      </c>
      <c r="V83" s="5">
        <v>152.1</v>
      </c>
      <c r="W83" s="5">
        <v>384.6</v>
      </c>
      <c r="X83" s="5">
        <v>403.9</v>
      </c>
      <c r="Y83" s="5">
        <v>0.1</v>
      </c>
    </row>
    <row r="84" spans="1:25" x14ac:dyDescent="0.3">
      <c r="A84" s="2" cm="1">
        <f t="array" ref="A84">CountByColumnLogic(E84:Z84)</f>
        <v>13</v>
      </c>
      <c r="B84" s="5" t="s">
        <v>102</v>
      </c>
      <c r="C84" s="5" t="s">
        <v>268</v>
      </c>
      <c r="D84" s="8" t="s">
        <v>294</v>
      </c>
      <c r="E84" s="5">
        <v>5.5</v>
      </c>
      <c r="F84" s="5">
        <v>42</v>
      </c>
      <c r="G84" s="5">
        <v>55.5</v>
      </c>
      <c r="H84" s="5">
        <v>52</v>
      </c>
      <c r="I84" s="5">
        <v>71</v>
      </c>
      <c r="J84" s="6">
        <v>0.45100000000000001</v>
      </c>
      <c r="K84" s="6">
        <v>0.40260000000000001</v>
      </c>
      <c r="L84" s="5">
        <v>4.7</v>
      </c>
      <c r="M84" s="5">
        <v>213.2</v>
      </c>
      <c r="N84" s="5">
        <v>161.30000000000001</v>
      </c>
      <c r="O84" s="6">
        <v>0.97370000000000001</v>
      </c>
      <c r="P84" s="6">
        <v>0.86670000000000003</v>
      </c>
      <c r="Q84" s="5">
        <v>183.8</v>
      </c>
      <c r="R84" s="5">
        <v>142.1</v>
      </c>
      <c r="S84" s="5">
        <v>26.1</v>
      </c>
      <c r="T84" s="5">
        <v>26.2</v>
      </c>
      <c r="U84" s="5">
        <v>0.1</v>
      </c>
      <c r="V84" s="5">
        <v>144.4</v>
      </c>
      <c r="W84" s="5">
        <v>345.1</v>
      </c>
      <c r="X84" s="5">
        <v>355.3</v>
      </c>
      <c r="Y84" s="5">
        <v>0</v>
      </c>
    </row>
    <row r="85" spans="1:25" x14ac:dyDescent="0.3">
      <c r="A85" s="2" cm="1">
        <f t="array" ref="A85">CountByColumnLogic(E85:Z85)</f>
        <v>19</v>
      </c>
      <c r="B85" s="5" t="s">
        <v>103</v>
      </c>
      <c r="C85" s="5" t="s">
        <v>274</v>
      </c>
      <c r="D85" s="8" t="s">
        <v>299</v>
      </c>
      <c r="E85" s="5">
        <v>-14.3</v>
      </c>
      <c r="F85" s="5">
        <v>90</v>
      </c>
      <c r="G85" s="5">
        <v>24.1</v>
      </c>
      <c r="H85" s="5">
        <v>128</v>
      </c>
      <c r="I85" s="5">
        <v>97</v>
      </c>
      <c r="J85" s="6">
        <v>0.31940000000000002</v>
      </c>
      <c r="K85" s="6">
        <v>0.39860000000000001</v>
      </c>
      <c r="L85" s="5">
        <v>5.0999999999999996</v>
      </c>
      <c r="M85" s="5">
        <v>149.1</v>
      </c>
      <c r="N85" s="5">
        <v>219.7</v>
      </c>
      <c r="O85" s="6">
        <v>0.8478</v>
      </c>
      <c r="P85" s="6">
        <v>0.72729999999999995</v>
      </c>
      <c r="Q85" s="5">
        <v>150.69999999999999</v>
      </c>
      <c r="R85" s="5">
        <v>143.30000000000001</v>
      </c>
      <c r="S85" s="5">
        <v>28.5</v>
      </c>
      <c r="T85" s="5">
        <v>17.399999999999999</v>
      </c>
      <c r="U85" s="5">
        <v>-11.1</v>
      </c>
      <c r="V85" s="5">
        <v>109.8</v>
      </c>
      <c r="W85" s="5">
        <v>370.5</v>
      </c>
      <c r="X85" s="5">
        <v>292.39999999999998</v>
      </c>
      <c r="Y85" s="5">
        <v>-0.9</v>
      </c>
    </row>
    <row r="86" spans="1:25" x14ac:dyDescent="0.3">
      <c r="A86" s="2" cm="1">
        <f t="array" ref="A86">CountByColumnLogic(E86:Z86)</f>
        <v>14</v>
      </c>
      <c r="B86" s="5" t="s">
        <v>104</v>
      </c>
      <c r="C86" s="5" t="s">
        <v>274</v>
      </c>
      <c r="D86" s="8" t="s">
        <v>292</v>
      </c>
      <c r="E86" s="5">
        <v>-2.7</v>
      </c>
      <c r="F86" s="5">
        <v>91</v>
      </c>
      <c r="G86" s="5">
        <v>48.4</v>
      </c>
      <c r="H86" s="5">
        <v>82</v>
      </c>
      <c r="I86" s="5">
        <v>60</v>
      </c>
      <c r="J86" s="6">
        <v>0.38819999999999999</v>
      </c>
      <c r="K86" s="6">
        <v>0.39019999999999999</v>
      </c>
      <c r="L86" s="5">
        <v>6.1</v>
      </c>
      <c r="M86" s="5">
        <v>208.9</v>
      </c>
      <c r="N86" s="5">
        <v>226.8</v>
      </c>
      <c r="O86" s="6">
        <v>0.87880000000000003</v>
      </c>
      <c r="P86" s="6">
        <v>0.84619999999999995</v>
      </c>
      <c r="Q86" s="5">
        <v>112.8</v>
      </c>
      <c r="R86" s="5">
        <v>146.80000000000001</v>
      </c>
      <c r="S86" s="5">
        <v>22.3</v>
      </c>
      <c r="T86" s="5">
        <v>26.7</v>
      </c>
      <c r="U86" s="5">
        <v>4.3</v>
      </c>
      <c r="V86" s="5">
        <v>140</v>
      </c>
      <c r="W86" s="5">
        <v>339.5</v>
      </c>
      <c r="X86" s="5">
        <v>355.7</v>
      </c>
      <c r="Y86" s="5">
        <v>-0.6</v>
      </c>
    </row>
    <row r="87" spans="1:25" x14ac:dyDescent="0.3">
      <c r="A87" s="2" cm="1">
        <f t="array" ref="A87">CountByColumnLogic(E87:Z87)</f>
        <v>16</v>
      </c>
      <c r="B87" s="5" t="s">
        <v>105</v>
      </c>
      <c r="C87" s="5" t="s">
        <v>280</v>
      </c>
      <c r="D87" s="8" t="s">
        <v>287</v>
      </c>
      <c r="E87" s="5">
        <v>-17.2</v>
      </c>
      <c r="F87" s="5">
        <v>115</v>
      </c>
      <c r="G87" s="5">
        <v>20.2</v>
      </c>
      <c r="H87" s="5">
        <v>129</v>
      </c>
      <c r="I87" s="5">
        <v>106</v>
      </c>
      <c r="J87" s="6">
        <v>0.43269999999999997</v>
      </c>
      <c r="K87" s="6">
        <v>0.41980000000000001</v>
      </c>
      <c r="L87" s="5">
        <v>6</v>
      </c>
      <c r="M87" s="5">
        <v>252.5</v>
      </c>
      <c r="N87" s="5">
        <v>241.5</v>
      </c>
      <c r="O87" s="6">
        <v>0.82350000000000001</v>
      </c>
      <c r="P87" s="6">
        <v>0.87880000000000003</v>
      </c>
      <c r="Q87" s="5">
        <v>173.8</v>
      </c>
      <c r="R87" s="5">
        <v>77.3</v>
      </c>
      <c r="S87" s="5">
        <v>29.8</v>
      </c>
      <c r="T87" s="5">
        <v>21.8</v>
      </c>
      <c r="U87" s="5">
        <v>-8</v>
      </c>
      <c r="V87" s="5">
        <v>117.2</v>
      </c>
      <c r="W87" s="5">
        <v>415.3</v>
      </c>
      <c r="X87" s="5">
        <v>329.7</v>
      </c>
      <c r="Y87" s="5">
        <v>-0.1</v>
      </c>
    </row>
    <row r="88" spans="1:25" x14ac:dyDescent="0.3">
      <c r="A88" s="2" cm="1">
        <f t="array" ref="A88">CountByColumnLogic(E88:Z88)</f>
        <v>17</v>
      </c>
      <c r="B88" s="5" t="s">
        <v>106</v>
      </c>
      <c r="C88" s="5" t="s">
        <v>267</v>
      </c>
      <c r="D88" s="8" t="s">
        <v>287</v>
      </c>
      <c r="E88" s="5">
        <v>-5.9</v>
      </c>
      <c r="F88" s="5">
        <v>80</v>
      </c>
      <c r="G88" s="5">
        <v>40.299999999999997</v>
      </c>
      <c r="H88" s="5">
        <v>99</v>
      </c>
      <c r="I88" s="5">
        <v>80</v>
      </c>
      <c r="J88" s="6">
        <v>0.35620000000000002</v>
      </c>
      <c r="K88" s="6">
        <v>0.42680000000000001</v>
      </c>
      <c r="L88" s="5">
        <v>6.8</v>
      </c>
      <c r="M88" s="5">
        <v>189.8</v>
      </c>
      <c r="N88" s="5">
        <v>223.6</v>
      </c>
      <c r="O88" s="6">
        <v>0.8</v>
      </c>
      <c r="P88" s="6">
        <v>0.76670000000000005</v>
      </c>
      <c r="Q88" s="5">
        <v>125.7</v>
      </c>
      <c r="R88" s="5">
        <v>97.2</v>
      </c>
      <c r="S88" s="5">
        <v>26.2</v>
      </c>
      <c r="T88" s="5">
        <v>17.3</v>
      </c>
      <c r="U88" s="5">
        <v>-8.9</v>
      </c>
      <c r="V88" s="5">
        <v>124.6</v>
      </c>
      <c r="W88" s="5">
        <v>349.4</v>
      </c>
      <c r="X88" s="5">
        <v>287</v>
      </c>
      <c r="Y88" s="5">
        <v>-0.5</v>
      </c>
    </row>
    <row r="89" spans="1:25" x14ac:dyDescent="0.3">
      <c r="A89" s="2" cm="1">
        <f t="array" ref="A89">CountByColumnLogic(E89:Z89)</f>
        <v>10</v>
      </c>
      <c r="B89" s="5" t="s">
        <v>107</v>
      </c>
      <c r="C89" s="5" t="s">
        <v>278</v>
      </c>
      <c r="D89" s="8" t="s">
        <v>295</v>
      </c>
      <c r="E89" s="5">
        <v>7</v>
      </c>
      <c r="F89" s="5">
        <v>109</v>
      </c>
      <c r="G89" s="5">
        <v>69.599999999999994</v>
      </c>
      <c r="H89" s="5">
        <v>9</v>
      </c>
      <c r="I89" s="5">
        <v>68</v>
      </c>
      <c r="J89" s="6">
        <v>0.45279999999999998</v>
      </c>
      <c r="K89" s="6">
        <v>0.43680000000000002</v>
      </c>
      <c r="L89" s="5">
        <v>5.8</v>
      </c>
      <c r="M89" s="5">
        <v>316.39999999999998</v>
      </c>
      <c r="N89" s="5">
        <v>172.2</v>
      </c>
      <c r="O89" s="6">
        <v>0.86270000000000002</v>
      </c>
      <c r="P89" s="6">
        <v>0.91779999999999995</v>
      </c>
      <c r="Q89" s="5">
        <v>232</v>
      </c>
      <c r="R89" s="5">
        <v>199.8</v>
      </c>
      <c r="S89" s="5">
        <v>28.5</v>
      </c>
      <c r="T89" s="5">
        <v>44.6</v>
      </c>
      <c r="U89" s="5">
        <v>16.100000000000001</v>
      </c>
      <c r="V89" s="5">
        <v>166.5</v>
      </c>
      <c r="W89" s="5">
        <v>404.2</v>
      </c>
      <c r="X89" s="5">
        <v>516.20000000000005</v>
      </c>
      <c r="Y89" s="5">
        <v>0.6</v>
      </c>
    </row>
    <row r="90" spans="1:25" x14ac:dyDescent="0.3">
      <c r="A90" s="2" cm="1">
        <f t="array" ref="A90">CountByColumnLogic(E90:Z90)</f>
        <v>17</v>
      </c>
      <c r="B90" s="5" t="s">
        <v>108</v>
      </c>
      <c r="C90" s="5" t="s">
        <v>275</v>
      </c>
      <c r="D90" s="8" t="s">
        <v>299</v>
      </c>
      <c r="E90" s="5">
        <v>-14.3</v>
      </c>
      <c r="F90" s="5">
        <v>124</v>
      </c>
      <c r="G90" s="5">
        <v>22.2</v>
      </c>
      <c r="H90" s="5">
        <v>130</v>
      </c>
      <c r="I90" s="5">
        <v>100</v>
      </c>
      <c r="J90" s="6">
        <v>0.32050000000000001</v>
      </c>
      <c r="K90" s="6">
        <v>0.45029999999999998</v>
      </c>
      <c r="L90" s="5">
        <v>4.0999999999999996</v>
      </c>
      <c r="M90" s="5">
        <v>97.9</v>
      </c>
      <c r="N90" s="5">
        <v>175.6</v>
      </c>
      <c r="O90" s="6">
        <v>0.86360000000000003</v>
      </c>
      <c r="P90" s="6">
        <v>0.76</v>
      </c>
      <c r="Q90" s="5">
        <v>194.5</v>
      </c>
      <c r="R90" s="5">
        <v>188.8</v>
      </c>
      <c r="S90" s="5">
        <v>25</v>
      </c>
      <c r="T90" s="5">
        <v>16.899999999999999</v>
      </c>
      <c r="U90" s="5">
        <v>-8.1</v>
      </c>
      <c r="V90" s="5">
        <v>100.8</v>
      </c>
      <c r="W90" s="5">
        <v>370.2</v>
      </c>
      <c r="X90" s="5">
        <v>286.7</v>
      </c>
      <c r="Y90" s="5">
        <v>0.2</v>
      </c>
    </row>
    <row r="91" spans="1:25" x14ac:dyDescent="0.3">
      <c r="A91" s="2" cm="1">
        <f t="array" ref="A91">CountByColumnLogic(E91:Z91)</f>
        <v>15</v>
      </c>
      <c r="B91" s="5" t="s">
        <v>109</v>
      </c>
      <c r="C91" s="5" t="s">
        <v>268</v>
      </c>
      <c r="D91" s="8" t="s">
        <v>294</v>
      </c>
      <c r="E91" s="5">
        <v>3.5</v>
      </c>
      <c r="F91" s="5">
        <v>38</v>
      </c>
      <c r="G91" s="5">
        <v>56.9</v>
      </c>
      <c r="H91" s="5">
        <v>66</v>
      </c>
      <c r="I91" s="5">
        <v>51</v>
      </c>
      <c r="J91" s="6">
        <v>0.4214</v>
      </c>
      <c r="K91" s="6">
        <v>0.44290000000000002</v>
      </c>
      <c r="L91" s="5">
        <v>4.0999999999999996</v>
      </c>
      <c r="M91" s="5">
        <v>181</v>
      </c>
      <c r="N91" s="5">
        <v>200.5</v>
      </c>
      <c r="O91" s="6">
        <v>0.84209999999999996</v>
      </c>
      <c r="P91" s="6">
        <v>0.88370000000000004</v>
      </c>
      <c r="Q91" s="5">
        <v>141.80000000000001</v>
      </c>
      <c r="R91" s="5">
        <v>150.1</v>
      </c>
      <c r="S91" s="5">
        <v>20.9</v>
      </c>
      <c r="T91" s="5">
        <v>21.8</v>
      </c>
      <c r="U91" s="5">
        <v>0.9</v>
      </c>
      <c r="V91" s="5">
        <v>116.2</v>
      </c>
      <c r="W91" s="5">
        <v>342.3</v>
      </c>
      <c r="X91" s="5">
        <v>331.1</v>
      </c>
      <c r="Y91" s="5">
        <v>-0.3</v>
      </c>
    </row>
    <row r="92" spans="1:25" x14ac:dyDescent="0.3">
      <c r="A92" s="2" cm="1">
        <f t="array" ref="A92">CountByColumnLogic(E92:Z92)</f>
        <v>4</v>
      </c>
      <c r="B92" s="5" t="s">
        <v>110</v>
      </c>
      <c r="C92" s="5" t="s">
        <v>284</v>
      </c>
      <c r="D92" s="8" t="s">
        <v>309</v>
      </c>
      <c r="E92" s="5">
        <v>25.3</v>
      </c>
      <c r="F92" s="5">
        <v>47</v>
      </c>
      <c r="G92" s="5">
        <v>91.2</v>
      </c>
      <c r="H92" s="5">
        <v>2</v>
      </c>
      <c r="I92" s="5">
        <v>7</v>
      </c>
      <c r="J92" s="6">
        <v>0.48149999999999998</v>
      </c>
      <c r="K92" s="6">
        <v>0.35389999999999999</v>
      </c>
      <c r="L92" s="5">
        <v>5.5</v>
      </c>
      <c r="M92" s="5">
        <v>255.1</v>
      </c>
      <c r="N92" s="5">
        <v>213.4</v>
      </c>
      <c r="O92" s="6">
        <v>0.84</v>
      </c>
      <c r="P92" s="6">
        <v>0.76359999999999995</v>
      </c>
      <c r="Q92" s="5">
        <v>98.8</v>
      </c>
      <c r="R92" s="5">
        <v>204.7</v>
      </c>
      <c r="S92" s="5">
        <v>17.600000000000001</v>
      </c>
      <c r="T92" s="5">
        <v>42</v>
      </c>
      <c r="U92" s="5">
        <v>24.4</v>
      </c>
      <c r="V92" s="5">
        <v>168.6</v>
      </c>
      <c r="W92" s="5">
        <v>312.3</v>
      </c>
      <c r="X92" s="5">
        <v>459.8</v>
      </c>
      <c r="Y92" s="5">
        <v>1.1000000000000001</v>
      </c>
    </row>
    <row r="93" spans="1:25" x14ac:dyDescent="0.3">
      <c r="A93" s="2" cm="1">
        <f t="array" ref="A93">CountByColumnLogic(E93:Z93)</f>
        <v>11</v>
      </c>
      <c r="B93" s="5" t="s">
        <v>111</v>
      </c>
      <c r="C93" s="5" t="s">
        <v>275</v>
      </c>
      <c r="D93" s="8" t="s">
        <v>292</v>
      </c>
      <c r="E93" s="5">
        <v>-2.4</v>
      </c>
      <c r="F93" s="5">
        <v>88</v>
      </c>
      <c r="G93" s="5">
        <v>49.2</v>
      </c>
      <c r="H93" s="5">
        <v>58</v>
      </c>
      <c r="I93" s="5">
        <v>76</v>
      </c>
      <c r="J93" s="6">
        <v>0.41670000000000001</v>
      </c>
      <c r="K93" s="6">
        <v>0.34899999999999998</v>
      </c>
      <c r="L93" s="5">
        <v>6.3</v>
      </c>
      <c r="M93" s="5">
        <v>175.3</v>
      </c>
      <c r="N93" s="5">
        <v>201.3</v>
      </c>
      <c r="O93" s="6">
        <v>0.77780000000000005</v>
      </c>
      <c r="P93" s="6">
        <v>0.82930000000000004</v>
      </c>
      <c r="Q93" s="5">
        <v>140.1</v>
      </c>
      <c r="R93" s="5">
        <v>220.6</v>
      </c>
      <c r="S93" s="5">
        <v>20.8</v>
      </c>
      <c r="T93" s="5">
        <v>25.8</v>
      </c>
      <c r="U93" s="5">
        <v>4.9000000000000004</v>
      </c>
      <c r="V93" s="5">
        <v>130.4</v>
      </c>
      <c r="W93" s="5">
        <v>341.4</v>
      </c>
      <c r="X93" s="5">
        <v>395.9</v>
      </c>
      <c r="Y93" s="5">
        <v>-0.3</v>
      </c>
    </row>
    <row r="94" spans="1:25" x14ac:dyDescent="0.3">
      <c r="A94" s="2" cm="1">
        <f t="array" ref="A94">CountByColumnLogic(E94:Z94)</f>
        <v>2</v>
      </c>
      <c r="B94" s="5" t="s">
        <v>112</v>
      </c>
      <c r="C94" s="5" t="s">
        <v>268</v>
      </c>
      <c r="D94" s="8" t="s">
        <v>295</v>
      </c>
      <c r="E94" s="5">
        <v>27.6</v>
      </c>
      <c r="F94" s="5">
        <v>20</v>
      </c>
      <c r="G94" s="5">
        <v>92.4</v>
      </c>
      <c r="H94" s="5">
        <v>5</v>
      </c>
      <c r="I94" s="5">
        <v>3</v>
      </c>
      <c r="J94" s="6">
        <v>0.51719999999999999</v>
      </c>
      <c r="K94" s="6">
        <v>0.31290000000000001</v>
      </c>
      <c r="L94" s="5">
        <v>4.2</v>
      </c>
      <c r="M94" s="5">
        <v>259.8</v>
      </c>
      <c r="N94" s="5">
        <v>134.19999999999999</v>
      </c>
      <c r="O94" s="6">
        <v>0.69230000000000003</v>
      </c>
      <c r="P94" s="6">
        <v>0.86890000000000001</v>
      </c>
      <c r="Q94" s="5">
        <v>89.2</v>
      </c>
      <c r="R94" s="5">
        <v>145.30000000000001</v>
      </c>
      <c r="S94" s="5">
        <v>10</v>
      </c>
      <c r="T94" s="5">
        <v>30.6</v>
      </c>
      <c r="U94" s="5">
        <v>20.6</v>
      </c>
      <c r="V94" s="5">
        <v>171.4</v>
      </c>
      <c r="W94" s="5">
        <v>223.3</v>
      </c>
      <c r="X94" s="5">
        <v>405.2</v>
      </c>
      <c r="Y94" s="5">
        <v>0.1</v>
      </c>
    </row>
    <row r="95" spans="1:25" x14ac:dyDescent="0.3">
      <c r="A95" s="2" cm="1">
        <f t="array" ref="A95">CountByColumnLogic(E95:Z95)</f>
        <v>10</v>
      </c>
      <c r="B95" s="5" t="s">
        <v>113</v>
      </c>
      <c r="C95" s="5" t="s">
        <v>266</v>
      </c>
      <c r="D95" s="8" t="s">
        <v>300</v>
      </c>
      <c r="E95" s="5">
        <v>15.9</v>
      </c>
      <c r="F95" s="5">
        <v>14</v>
      </c>
      <c r="G95" s="5">
        <v>78.900000000000006</v>
      </c>
      <c r="H95" s="5">
        <v>59</v>
      </c>
      <c r="I95" s="5">
        <v>5</v>
      </c>
      <c r="J95" s="6">
        <v>0.3851</v>
      </c>
      <c r="K95" s="6">
        <v>0.29210000000000003</v>
      </c>
      <c r="L95" s="5">
        <v>6.8</v>
      </c>
      <c r="M95" s="5">
        <v>222.8</v>
      </c>
      <c r="N95" s="5">
        <v>208.7</v>
      </c>
      <c r="O95" s="6">
        <v>0.8</v>
      </c>
      <c r="P95" s="6">
        <v>0.96879999999999999</v>
      </c>
      <c r="Q95" s="5">
        <v>74</v>
      </c>
      <c r="R95" s="5">
        <v>119.8</v>
      </c>
      <c r="S95" s="5">
        <v>16.5</v>
      </c>
      <c r="T95" s="5">
        <v>25.5</v>
      </c>
      <c r="U95" s="5">
        <v>9</v>
      </c>
      <c r="V95" s="5">
        <v>123.3</v>
      </c>
      <c r="W95" s="5">
        <v>282.7</v>
      </c>
      <c r="X95" s="5">
        <v>342.6</v>
      </c>
      <c r="Y95" s="5">
        <v>-0.1</v>
      </c>
    </row>
    <row r="96" spans="1:25" x14ac:dyDescent="0.3">
      <c r="A96" s="2" cm="1">
        <f t="array" ref="A96">CountByColumnLogic(E96:Z96)</f>
        <v>20</v>
      </c>
      <c r="B96" s="5" t="s">
        <v>114</v>
      </c>
      <c r="C96" s="5" t="s">
        <v>277</v>
      </c>
      <c r="D96" s="8" t="s">
        <v>297</v>
      </c>
      <c r="E96" s="5">
        <v>-12.1</v>
      </c>
      <c r="F96" s="5">
        <v>35</v>
      </c>
      <c r="G96" s="5">
        <v>21.7</v>
      </c>
      <c r="H96" s="5">
        <v>123</v>
      </c>
      <c r="I96" s="5">
        <v>117</v>
      </c>
      <c r="J96" s="6">
        <v>0.32500000000000001</v>
      </c>
      <c r="K96" s="6">
        <v>0.43709999999999999</v>
      </c>
      <c r="L96" s="5">
        <v>5.3</v>
      </c>
      <c r="M96" s="5">
        <v>168.8</v>
      </c>
      <c r="N96" s="5">
        <v>265.5</v>
      </c>
      <c r="O96" s="6">
        <v>0.92310000000000003</v>
      </c>
      <c r="P96" s="6">
        <v>0.70830000000000004</v>
      </c>
      <c r="Q96" s="5">
        <v>170.3</v>
      </c>
      <c r="R96" s="5">
        <v>117.5</v>
      </c>
      <c r="S96" s="5">
        <v>35.700000000000003</v>
      </c>
      <c r="T96" s="5">
        <v>13</v>
      </c>
      <c r="U96" s="5">
        <v>-22.7</v>
      </c>
      <c r="V96" s="5">
        <v>103.5</v>
      </c>
      <c r="W96" s="5">
        <v>435.7</v>
      </c>
      <c r="X96" s="5">
        <v>286.39999999999998</v>
      </c>
      <c r="Y96" s="5">
        <v>-0.5</v>
      </c>
    </row>
    <row r="97" spans="1:25" x14ac:dyDescent="0.3">
      <c r="A97" s="2" cm="1">
        <f t="array" ref="A97">CountByColumnLogic(E97:Z97)</f>
        <v>10</v>
      </c>
      <c r="B97" s="5" t="s">
        <v>115</v>
      </c>
      <c r="C97" s="5" t="s">
        <v>276</v>
      </c>
      <c r="D97" s="8" t="s">
        <v>300</v>
      </c>
      <c r="E97" s="5">
        <v>4.8</v>
      </c>
      <c r="F97" s="5">
        <v>74</v>
      </c>
      <c r="G97" s="5">
        <v>68.8</v>
      </c>
      <c r="H97" s="5">
        <v>53</v>
      </c>
      <c r="I97" s="5">
        <v>17</v>
      </c>
      <c r="J97" s="6">
        <v>0.42420000000000002</v>
      </c>
      <c r="K97" s="6">
        <v>0.3483</v>
      </c>
      <c r="L97" s="5">
        <v>6</v>
      </c>
      <c r="M97" s="5">
        <v>211.3</v>
      </c>
      <c r="N97" s="5">
        <v>199</v>
      </c>
      <c r="O97" s="6">
        <v>0.72970000000000002</v>
      </c>
      <c r="P97" s="6">
        <v>0.71930000000000005</v>
      </c>
      <c r="Q97" s="5">
        <v>140.4</v>
      </c>
      <c r="R97" s="5">
        <v>236</v>
      </c>
      <c r="S97" s="5">
        <v>19.600000000000001</v>
      </c>
      <c r="T97" s="5">
        <v>30.2</v>
      </c>
      <c r="U97" s="5">
        <v>10.6</v>
      </c>
      <c r="V97" s="5">
        <v>139.1</v>
      </c>
      <c r="W97" s="5">
        <v>339.4</v>
      </c>
      <c r="X97" s="5">
        <v>447.3</v>
      </c>
      <c r="Y97" s="5">
        <v>0</v>
      </c>
    </row>
    <row r="98" spans="1:25" x14ac:dyDescent="0.3">
      <c r="A98" s="2" cm="1">
        <f t="array" ref="A98">CountByColumnLogic(E98:Z98)</f>
        <v>10</v>
      </c>
      <c r="B98" s="5" t="s">
        <v>116</v>
      </c>
      <c r="C98" s="5" t="s">
        <v>266</v>
      </c>
      <c r="D98" s="8" t="s">
        <v>310</v>
      </c>
      <c r="E98" s="5">
        <v>19.3</v>
      </c>
      <c r="F98" s="5">
        <v>31</v>
      </c>
      <c r="G98" s="5">
        <v>79.599999999999994</v>
      </c>
      <c r="H98" s="5">
        <v>8</v>
      </c>
      <c r="I98" s="5">
        <v>49</v>
      </c>
      <c r="J98" s="6">
        <v>0.42080000000000001</v>
      </c>
      <c r="K98" s="6">
        <v>0.38019999999999998</v>
      </c>
      <c r="L98" s="5">
        <v>5.7</v>
      </c>
      <c r="M98" s="5">
        <v>303.39999999999998</v>
      </c>
      <c r="N98" s="5">
        <v>211.5</v>
      </c>
      <c r="O98" s="6">
        <v>0.875</v>
      </c>
      <c r="P98" s="6">
        <v>0.85709999999999997</v>
      </c>
      <c r="Q98" s="5">
        <v>154.1</v>
      </c>
      <c r="R98" s="5">
        <v>178.9</v>
      </c>
      <c r="S98" s="5">
        <v>22.6</v>
      </c>
      <c r="T98" s="5">
        <v>36.1</v>
      </c>
      <c r="U98" s="5">
        <v>13.5</v>
      </c>
      <c r="V98" s="5">
        <v>151.30000000000001</v>
      </c>
      <c r="W98" s="5">
        <v>365.6</v>
      </c>
      <c r="X98" s="5">
        <v>482.3</v>
      </c>
      <c r="Y98" s="5">
        <v>0.1</v>
      </c>
    </row>
    <row r="99" spans="1:25" x14ac:dyDescent="0.3">
      <c r="A99" s="2" cm="1">
        <f t="array" ref="A99">CountByColumnLogic(E99:Z99)</f>
        <v>4</v>
      </c>
      <c r="B99" s="5" t="s">
        <v>117</v>
      </c>
      <c r="C99" s="5" t="s">
        <v>268</v>
      </c>
      <c r="D99" s="8" t="s">
        <v>310</v>
      </c>
      <c r="E99" s="5">
        <v>23.9</v>
      </c>
      <c r="F99" s="5">
        <v>6</v>
      </c>
      <c r="G99" s="5">
        <v>91.2</v>
      </c>
      <c r="H99" s="5">
        <v>6</v>
      </c>
      <c r="I99" s="5">
        <v>6</v>
      </c>
      <c r="J99" s="6">
        <v>0.45200000000000001</v>
      </c>
      <c r="K99" s="6">
        <v>0.38840000000000002</v>
      </c>
      <c r="L99" s="5">
        <v>5.2</v>
      </c>
      <c r="M99" s="5">
        <v>253.6</v>
      </c>
      <c r="N99" s="5">
        <v>155.1</v>
      </c>
      <c r="O99" s="6">
        <v>0.88570000000000004</v>
      </c>
      <c r="P99" s="6">
        <v>0.83020000000000005</v>
      </c>
      <c r="Q99" s="5">
        <v>120.7</v>
      </c>
      <c r="R99" s="5">
        <v>194.7</v>
      </c>
      <c r="S99" s="5">
        <v>18.2</v>
      </c>
      <c r="T99" s="5">
        <v>35.4</v>
      </c>
      <c r="U99" s="5">
        <v>17.100000000000001</v>
      </c>
      <c r="V99" s="5">
        <v>161.30000000000001</v>
      </c>
      <c r="W99" s="5">
        <v>275.8</v>
      </c>
      <c r="X99" s="5">
        <v>448.4</v>
      </c>
      <c r="Y99" s="5">
        <v>0.4</v>
      </c>
    </row>
    <row r="100" spans="1:25" x14ac:dyDescent="0.3">
      <c r="A100" s="2" cm="1">
        <f t="array" ref="A100">CountByColumnLogic(E100:Z100)</f>
        <v>17</v>
      </c>
      <c r="B100" s="5" t="s">
        <v>118</v>
      </c>
      <c r="C100" s="5" t="s">
        <v>285</v>
      </c>
      <c r="D100" s="8" t="s">
        <v>293</v>
      </c>
      <c r="E100" s="5">
        <v>-11.6</v>
      </c>
      <c r="F100" s="5">
        <v>64</v>
      </c>
      <c r="G100" s="5">
        <v>22.6</v>
      </c>
      <c r="H100" s="5">
        <v>116</v>
      </c>
      <c r="I100" s="5">
        <v>94</v>
      </c>
      <c r="J100" s="6">
        <v>0.36020000000000002</v>
      </c>
      <c r="K100" s="6">
        <v>0.31580000000000003</v>
      </c>
      <c r="L100" s="5">
        <v>5.9</v>
      </c>
      <c r="M100" s="5">
        <v>232</v>
      </c>
      <c r="N100" s="5">
        <v>223</v>
      </c>
      <c r="O100" s="6">
        <v>0.85709999999999997</v>
      </c>
      <c r="P100" s="6">
        <v>0.69699999999999995</v>
      </c>
      <c r="Q100" s="5">
        <v>159.1</v>
      </c>
      <c r="R100" s="5">
        <v>101.9</v>
      </c>
      <c r="S100" s="5">
        <v>30.9</v>
      </c>
      <c r="T100" s="5">
        <v>15.7</v>
      </c>
      <c r="U100" s="5">
        <v>-15.2</v>
      </c>
      <c r="V100" s="5">
        <v>116.7</v>
      </c>
      <c r="W100" s="5">
        <v>382.1</v>
      </c>
      <c r="X100" s="5">
        <v>333.9</v>
      </c>
      <c r="Y100" s="5">
        <v>-0.8</v>
      </c>
    </row>
    <row r="101" spans="1:25" x14ac:dyDescent="0.3">
      <c r="A101" s="2" cm="1">
        <f t="array" ref="A101">CountByColumnLogic(E101:Z101)</f>
        <v>12</v>
      </c>
      <c r="B101" s="5" t="s">
        <v>119</v>
      </c>
      <c r="C101" s="5" t="s">
        <v>268</v>
      </c>
      <c r="D101" s="8" t="s">
        <v>294</v>
      </c>
      <c r="E101" s="5">
        <v>15.9</v>
      </c>
      <c r="F101" s="5">
        <v>22</v>
      </c>
      <c r="G101" s="5">
        <v>73.8</v>
      </c>
      <c r="H101" s="5">
        <v>27</v>
      </c>
      <c r="I101" s="5">
        <v>43</v>
      </c>
      <c r="J101" s="6">
        <v>0.43419999999999997</v>
      </c>
      <c r="K101" s="6">
        <v>0.41510000000000002</v>
      </c>
      <c r="L101" s="5">
        <v>4</v>
      </c>
      <c r="M101" s="5">
        <v>184.4</v>
      </c>
      <c r="N101" s="5">
        <v>191.6</v>
      </c>
      <c r="O101" s="6">
        <v>0.84089999999999998</v>
      </c>
      <c r="P101" s="6">
        <v>0.89580000000000004</v>
      </c>
      <c r="Q101" s="5">
        <v>148.4</v>
      </c>
      <c r="R101" s="5">
        <v>169.5</v>
      </c>
      <c r="S101" s="5">
        <v>21.8</v>
      </c>
      <c r="T101" s="5">
        <v>29.3</v>
      </c>
      <c r="U101" s="5">
        <v>7.5</v>
      </c>
      <c r="V101" s="5">
        <v>139.30000000000001</v>
      </c>
      <c r="W101" s="5">
        <v>340</v>
      </c>
      <c r="X101" s="5">
        <v>353.9</v>
      </c>
      <c r="Y101" s="5">
        <v>0.1</v>
      </c>
    </row>
    <row r="102" spans="1:25" x14ac:dyDescent="0.3">
      <c r="A102" s="2" cm="1">
        <f t="array" ref="A102">CountByColumnLogic(E102:Z102)</f>
        <v>16</v>
      </c>
      <c r="B102" s="5" t="s">
        <v>120</v>
      </c>
      <c r="C102" s="5" t="s">
        <v>267</v>
      </c>
      <c r="D102" s="8" t="s">
        <v>291</v>
      </c>
      <c r="E102" s="5">
        <v>7.7</v>
      </c>
      <c r="F102" s="5">
        <v>51</v>
      </c>
      <c r="G102" s="5">
        <v>67.7</v>
      </c>
      <c r="H102" s="5">
        <v>64</v>
      </c>
      <c r="I102" s="5">
        <v>16</v>
      </c>
      <c r="J102" s="6">
        <v>0.33129999999999998</v>
      </c>
      <c r="K102" s="6">
        <v>0.33529999999999999</v>
      </c>
      <c r="L102" s="5">
        <v>7.7</v>
      </c>
      <c r="M102" s="5">
        <v>271.2</v>
      </c>
      <c r="N102" s="5">
        <v>240.7</v>
      </c>
      <c r="O102" s="6">
        <v>0.86839999999999995</v>
      </c>
      <c r="P102" s="6">
        <v>0.81820000000000004</v>
      </c>
      <c r="Q102" s="5">
        <v>99.9</v>
      </c>
      <c r="R102" s="5">
        <v>113.8</v>
      </c>
      <c r="S102" s="5">
        <v>26.1</v>
      </c>
      <c r="T102" s="5">
        <v>31.4</v>
      </c>
      <c r="U102" s="5">
        <v>5.3</v>
      </c>
      <c r="V102" s="5">
        <v>138.6</v>
      </c>
      <c r="W102" s="5">
        <v>340.6</v>
      </c>
      <c r="X102" s="5">
        <v>385</v>
      </c>
      <c r="Y102" s="5">
        <v>-0.1</v>
      </c>
    </row>
    <row r="103" spans="1:25" x14ac:dyDescent="0.3">
      <c r="A103" s="2" cm="1">
        <f t="array" ref="A103">CountByColumnLogic(E103:Z103)</f>
        <v>17</v>
      </c>
      <c r="B103" s="5" t="s">
        <v>121</v>
      </c>
      <c r="C103" s="5" t="s">
        <v>268</v>
      </c>
      <c r="D103" s="8" t="s">
        <v>293</v>
      </c>
      <c r="E103" s="5">
        <v>-4.7</v>
      </c>
      <c r="F103" s="5">
        <v>4</v>
      </c>
      <c r="G103" s="5">
        <v>38.1</v>
      </c>
      <c r="H103" s="5">
        <v>78</v>
      </c>
      <c r="I103" s="5">
        <v>105</v>
      </c>
      <c r="J103" s="6">
        <v>0.36109999999999998</v>
      </c>
      <c r="K103" s="6">
        <v>0.43280000000000002</v>
      </c>
      <c r="L103" s="5">
        <v>5.0999999999999996</v>
      </c>
      <c r="M103" s="5">
        <v>221.5</v>
      </c>
      <c r="N103" s="5">
        <v>245.3</v>
      </c>
      <c r="O103" s="6">
        <v>0.79590000000000005</v>
      </c>
      <c r="P103" s="6">
        <v>0.75</v>
      </c>
      <c r="Q103" s="5">
        <v>191.4</v>
      </c>
      <c r="R103" s="5">
        <v>118.5</v>
      </c>
      <c r="S103" s="5">
        <v>33.200000000000003</v>
      </c>
      <c r="T103" s="5">
        <v>17.399999999999999</v>
      </c>
      <c r="U103" s="5">
        <v>-15.8</v>
      </c>
      <c r="V103" s="5">
        <v>117.5</v>
      </c>
      <c r="W103" s="5">
        <v>436.6</v>
      </c>
      <c r="X103" s="5">
        <v>339.9</v>
      </c>
      <c r="Y103" s="5">
        <v>-1</v>
      </c>
    </row>
    <row r="104" spans="1:25" x14ac:dyDescent="0.3">
      <c r="A104" s="2" cm="1">
        <f t="array" ref="A104">CountByColumnLogic(E104:Z104)</f>
        <v>18</v>
      </c>
      <c r="B104" s="5" t="s">
        <v>122</v>
      </c>
      <c r="C104" s="5" t="s">
        <v>278</v>
      </c>
      <c r="D104" s="8" t="s">
        <v>290</v>
      </c>
      <c r="E104" s="5">
        <v>-17.3</v>
      </c>
      <c r="F104" s="5">
        <v>94</v>
      </c>
      <c r="G104" s="5">
        <v>20.399999999999999</v>
      </c>
      <c r="H104" s="5">
        <v>125</v>
      </c>
      <c r="I104" s="5">
        <v>116</v>
      </c>
      <c r="J104" s="6">
        <v>0.3352</v>
      </c>
      <c r="K104" s="6">
        <v>0.43230000000000002</v>
      </c>
      <c r="L104" s="5">
        <v>4.7</v>
      </c>
      <c r="M104" s="5">
        <v>96.3</v>
      </c>
      <c r="N104" s="5">
        <v>247.5</v>
      </c>
      <c r="O104" s="6">
        <v>1</v>
      </c>
      <c r="P104" s="6">
        <v>0.89659999999999995</v>
      </c>
      <c r="Q104" s="5">
        <v>169</v>
      </c>
      <c r="R104" s="5">
        <v>192.8</v>
      </c>
      <c r="S104" s="5">
        <v>34.299999999999997</v>
      </c>
      <c r="T104" s="5">
        <v>17.5</v>
      </c>
      <c r="U104" s="5">
        <v>-16.8</v>
      </c>
      <c r="V104" s="5">
        <v>124.3</v>
      </c>
      <c r="W104" s="5">
        <v>416.5</v>
      </c>
      <c r="X104" s="5">
        <v>289.10000000000002</v>
      </c>
      <c r="Y104" s="5">
        <v>-0.3</v>
      </c>
    </row>
    <row r="105" spans="1:25" x14ac:dyDescent="0.3">
      <c r="A105" s="2" cm="1">
        <f t="array" ref="A105">CountByColumnLogic(E105:Z105)</f>
        <v>14</v>
      </c>
      <c r="B105" s="5" t="s">
        <v>123</v>
      </c>
      <c r="C105" s="5" t="s">
        <v>268</v>
      </c>
      <c r="D105" s="8" t="s">
        <v>288</v>
      </c>
      <c r="E105" s="5">
        <v>1.5</v>
      </c>
      <c r="F105" s="5">
        <v>26</v>
      </c>
      <c r="G105" s="5">
        <v>48.2</v>
      </c>
      <c r="H105" s="5">
        <v>26</v>
      </c>
      <c r="I105" s="5">
        <v>131</v>
      </c>
      <c r="J105" s="6">
        <v>0.40410000000000001</v>
      </c>
      <c r="K105" s="6">
        <v>0.42309999999999998</v>
      </c>
      <c r="L105" s="5">
        <v>4</v>
      </c>
      <c r="M105" s="5">
        <v>255.9</v>
      </c>
      <c r="N105" s="5">
        <v>234.8</v>
      </c>
      <c r="O105" s="6">
        <v>0.87760000000000005</v>
      </c>
      <c r="P105" s="6">
        <v>0.77549999999999997</v>
      </c>
      <c r="Q105" s="5">
        <v>217.6</v>
      </c>
      <c r="R105" s="5">
        <v>137.5</v>
      </c>
      <c r="S105" s="5">
        <v>33.799999999999997</v>
      </c>
      <c r="T105" s="5">
        <v>25.8</v>
      </c>
      <c r="U105" s="5">
        <v>-8</v>
      </c>
      <c r="V105" s="5">
        <v>144.19999999999999</v>
      </c>
      <c r="W105" s="5">
        <v>452.5</v>
      </c>
      <c r="X105" s="5">
        <v>393.5</v>
      </c>
      <c r="Y105" s="5">
        <v>-0.2</v>
      </c>
    </row>
    <row r="106" spans="1:25" x14ac:dyDescent="0.3">
      <c r="A106" s="2" cm="1">
        <f t="array" ref="A106">CountByColumnLogic(E106:Z106)</f>
        <v>11</v>
      </c>
      <c r="B106" s="5" t="s">
        <v>127</v>
      </c>
      <c r="C106" s="5" t="s">
        <v>267</v>
      </c>
      <c r="D106" s="8" t="s">
        <v>292</v>
      </c>
      <c r="E106" s="5">
        <v>12.5</v>
      </c>
      <c r="F106" s="5">
        <v>61</v>
      </c>
      <c r="G106" s="5">
        <v>74.900000000000006</v>
      </c>
      <c r="H106" s="5">
        <v>28</v>
      </c>
      <c r="I106" s="5">
        <v>27</v>
      </c>
      <c r="J106" s="6">
        <v>0.4088</v>
      </c>
      <c r="K106" s="6">
        <v>0.36699999999999999</v>
      </c>
      <c r="L106" s="5">
        <v>6.9</v>
      </c>
      <c r="M106" s="5">
        <v>285</v>
      </c>
      <c r="N106" s="5">
        <v>286.39999999999998</v>
      </c>
      <c r="O106" s="6">
        <v>0.73170000000000002</v>
      </c>
      <c r="P106" s="6">
        <v>0.92859999999999998</v>
      </c>
      <c r="Q106" s="5">
        <v>112.4</v>
      </c>
      <c r="R106" s="5">
        <v>133.30000000000001</v>
      </c>
      <c r="S106" s="5">
        <v>21.2</v>
      </c>
      <c r="T106" s="5">
        <v>31.4</v>
      </c>
      <c r="U106" s="5">
        <v>10.3</v>
      </c>
      <c r="V106" s="5">
        <v>145.5</v>
      </c>
      <c r="W106" s="5">
        <v>398.8</v>
      </c>
      <c r="X106" s="5">
        <v>418.3</v>
      </c>
      <c r="Y106" s="5">
        <v>0.8</v>
      </c>
    </row>
    <row r="107" spans="1:25" x14ac:dyDescent="0.3">
      <c r="A107" s="2" cm="1">
        <f t="array" ref="A107">CountByColumnLogic(E107:Z107)</f>
        <v>20</v>
      </c>
      <c r="B107" s="5" t="s">
        <v>124</v>
      </c>
      <c r="C107" s="5" t="s">
        <v>280</v>
      </c>
      <c r="D107" s="8" t="s">
        <v>293</v>
      </c>
      <c r="E107" s="5">
        <v>-24.3</v>
      </c>
      <c r="F107" s="5">
        <v>107</v>
      </c>
      <c r="G107" s="5">
        <v>13</v>
      </c>
      <c r="H107" s="5">
        <v>134</v>
      </c>
      <c r="I107" s="5">
        <v>128</v>
      </c>
      <c r="J107" s="6">
        <v>0.22220000000000001</v>
      </c>
      <c r="K107" s="6">
        <v>0.44740000000000002</v>
      </c>
      <c r="L107" s="5">
        <v>6.4</v>
      </c>
      <c r="M107" s="5">
        <v>184</v>
      </c>
      <c r="N107" s="5">
        <v>275.89999999999998</v>
      </c>
      <c r="O107" s="6">
        <v>0.86439999999999995</v>
      </c>
      <c r="P107" s="6">
        <v>0.65629999999999999</v>
      </c>
      <c r="Q107" s="5">
        <v>207.5</v>
      </c>
      <c r="R107" s="5">
        <v>132.80000000000001</v>
      </c>
      <c r="S107" s="5">
        <v>37.799999999999997</v>
      </c>
      <c r="T107" s="5">
        <v>17.8</v>
      </c>
      <c r="U107" s="5">
        <v>-20.100000000000001</v>
      </c>
      <c r="V107" s="5">
        <v>107.5</v>
      </c>
      <c r="W107" s="5">
        <v>483.4</v>
      </c>
      <c r="X107" s="5">
        <v>316.8</v>
      </c>
      <c r="Y107" s="5">
        <v>0.2</v>
      </c>
    </row>
    <row r="108" spans="1:25" x14ac:dyDescent="0.3">
      <c r="A108" s="2" cm="1">
        <f t="array" ref="A108">CountByColumnLogic(E108:Z108)</f>
        <v>12</v>
      </c>
      <c r="B108" s="5" t="s">
        <v>125</v>
      </c>
      <c r="C108" s="5" t="s">
        <v>274</v>
      </c>
      <c r="D108" s="8" t="s">
        <v>292</v>
      </c>
      <c r="E108" s="5">
        <v>0.6</v>
      </c>
      <c r="F108" s="5">
        <v>117</v>
      </c>
      <c r="G108" s="5">
        <v>60.9</v>
      </c>
      <c r="H108" s="5">
        <v>94</v>
      </c>
      <c r="I108" s="5">
        <v>24</v>
      </c>
      <c r="J108" s="6">
        <v>0.29330000000000001</v>
      </c>
      <c r="K108" s="6">
        <v>0.34039999999999998</v>
      </c>
      <c r="L108" s="5">
        <v>6.1</v>
      </c>
      <c r="M108" s="5">
        <v>151.4</v>
      </c>
      <c r="N108" s="5">
        <v>174.1</v>
      </c>
      <c r="O108" s="6">
        <v>0.74070000000000003</v>
      </c>
      <c r="P108" s="6">
        <v>0.85709999999999997</v>
      </c>
      <c r="Q108" s="5">
        <v>137.1</v>
      </c>
      <c r="R108" s="5">
        <v>198.2</v>
      </c>
      <c r="S108" s="5">
        <v>16.7</v>
      </c>
      <c r="T108" s="5">
        <v>25.1</v>
      </c>
      <c r="U108" s="5">
        <v>8.4</v>
      </c>
      <c r="V108" s="5">
        <v>119.7</v>
      </c>
      <c r="W108" s="5">
        <v>311.2</v>
      </c>
      <c r="X108" s="5">
        <v>349.6</v>
      </c>
      <c r="Y108" s="5">
        <v>0.3</v>
      </c>
    </row>
    <row r="109" spans="1:25" x14ac:dyDescent="0.3">
      <c r="A109" s="2" cm="1">
        <f t="array" ref="A109">CountByColumnLogic(E109:Z109)</f>
        <v>11</v>
      </c>
      <c r="B109" s="5" t="s">
        <v>286</v>
      </c>
      <c r="C109" s="5" t="s">
        <v>168</v>
      </c>
      <c r="D109" s="8" t="s">
        <v>168</v>
      </c>
      <c r="E109" s="5" t="s">
        <v>168</v>
      </c>
      <c r="F109" s="5" t="s">
        <v>168</v>
      </c>
      <c r="G109" s="5" t="s">
        <v>168</v>
      </c>
      <c r="H109" s="5" t="s">
        <v>168</v>
      </c>
      <c r="I109" s="5" t="s">
        <v>168</v>
      </c>
      <c r="J109" s="6">
        <v>0.40789999999999998</v>
      </c>
      <c r="K109" s="6">
        <v>0.35139999999999999</v>
      </c>
      <c r="L109" s="5">
        <v>6</v>
      </c>
      <c r="M109" s="5">
        <v>288.7</v>
      </c>
      <c r="N109" s="5">
        <v>246.5</v>
      </c>
      <c r="O109" s="6">
        <v>0.875</v>
      </c>
      <c r="P109" s="6">
        <v>0.75680000000000003</v>
      </c>
      <c r="Q109" s="5">
        <v>159.5</v>
      </c>
      <c r="R109" s="5">
        <v>112.9</v>
      </c>
      <c r="S109" s="5">
        <v>32.9</v>
      </c>
      <c r="T109" s="5">
        <v>20.5</v>
      </c>
      <c r="U109" s="5">
        <v>-12.4</v>
      </c>
      <c r="V109" s="5">
        <v>116.8</v>
      </c>
      <c r="W109" s="5">
        <v>405.9</v>
      </c>
      <c r="X109" s="5">
        <v>401.6</v>
      </c>
      <c r="Y109" s="5">
        <v>-1.2</v>
      </c>
    </row>
    <row r="110" spans="1:25" x14ac:dyDescent="0.3">
      <c r="A110" s="2" cm="1">
        <f t="array" ref="A110">CountByColumnLogic(E110:Z110)</f>
        <v>5</v>
      </c>
      <c r="B110" s="5" t="s">
        <v>126</v>
      </c>
      <c r="C110" s="5" t="s">
        <v>274</v>
      </c>
      <c r="D110" s="8" t="s">
        <v>299</v>
      </c>
      <c r="E110" s="5">
        <v>-13.7</v>
      </c>
      <c r="F110" s="5">
        <v>98</v>
      </c>
      <c r="G110" s="5">
        <v>29</v>
      </c>
      <c r="H110" s="5">
        <v>85</v>
      </c>
      <c r="I110" s="5">
        <v>120</v>
      </c>
      <c r="J110" s="6" t="s">
        <v>168</v>
      </c>
      <c r="K110" s="6" t="s">
        <v>168</v>
      </c>
      <c r="L110" s="5" t="s">
        <v>168</v>
      </c>
      <c r="M110" s="5" t="s">
        <v>168</v>
      </c>
      <c r="N110" s="5" t="s">
        <v>168</v>
      </c>
      <c r="O110" s="6" t="s">
        <v>168</v>
      </c>
      <c r="P110" s="6" t="s">
        <v>168</v>
      </c>
      <c r="Q110" s="5" t="s">
        <v>168</v>
      </c>
      <c r="R110" s="5" t="s">
        <v>168</v>
      </c>
      <c r="S110" s="5" t="s">
        <v>168</v>
      </c>
      <c r="T110" s="5" t="s">
        <v>168</v>
      </c>
      <c r="U110" s="5" t="s">
        <v>168</v>
      </c>
      <c r="V110" s="5" t="s">
        <v>168</v>
      </c>
      <c r="W110" s="5" t="s">
        <v>168</v>
      </c>
      <c r="X110" s="5" t="s">
        <v>168</v>
      </c>
      <c r="Y110" s="5" t="s">
        <v>168</v>
      </c>
    </row>
    <row r="111" spans="1:25" x14ac:dyDescent="0.3">
      <c r="A111" s="2" cm="1">
        <f t="array" ref="A111">CountByColumnLogic(E111:Z111)</f>
        <v>16</v>
      </c>
      <c r="B111" s="5" t="s">
        <v>128</v>
      </c>
      <c r="C111" s="5" t="s">
        <v>276</v>
      </c>
      <c r="D111" s="8" t="s">
        <v>287</v>
      </c>
      <c r="E111" s="5">
        <v>-10.7</v>
      </c>
      <c r="F111" s="5">
        <v>105</v>
      </c>
      <c r="G111" s="5">
        <v>29.5</v>
      </c>
      <c r="H111" s="5">
        <v>91</v>
      </c>
      <c r="I111" s="5">
        <v>119</v>
      </c>
      <c r="J111" s="6">
        <v>0.4345</v>
      </c>
      <c r="K111" s="6">
        <v>0.38190000000000002</v>
      </c>
      <c r="L111" s="5">
        <v>6.4</v>
      </c>
      <c r="M111" s="5">
        <v>181.7</v>
      </c>
      <c r="N111" s="5">
        <v>209.1</v>
      </c>
      <c r="O111" s="6">
        <v>0.95</v>
      </c>
      <c r="P111" s="6">
        <v>0.76919999999999999</v>
      </c>
      <c r="Q111" s="5">
        <v>175</v>
      </c>
      <c r="R111" s="5">
        <v>201.9</v>
      </c>
      <c r="S111" s="5">
        <v>31.3</v>
      </c>
      <c r="T111" s="5">
        <v>25.5</v>
      </c>
      <c r="U111" s="5">
        <v>-5.8</v>
      </c>
      <c r="V111" s="5">
        <v>132.6</v>
      </c>
      <c r="W111" s="5">
        <v>384.1</v>
      </c>
      <c r="X111" s="5">
        <v>383.6</v>
      </c>
      <c r="Y111" s="5">
        <v>0</v>
      </c>
    </row>
    <row r="112" spans="1:25" x14ac:dyDescent="0.3">
      <c r="A112" s="2" cm="1">
        <f t="array" ref="A112">CountByColumnLogic(E112:Z112)</f>
        <v>15</v>
      </c>
      <c r="B112" s="5" t="s">
        <v>129</v>
      </c>
      <c r="C112" s="5" t="s">
        <v>266</v>
      </c>
      <c r="D112" s="8" t="s">
        <v>287</v>
      </c>
      <c r="E112" s="5">
        <v>9</v>
      </c>
      <c r="F112" s="5">
        <v>13</v>
      </c>
      <c r="G112" s="5">
        <v>62.9</v>
      </c>
      <c r="H112" s="5">
        <v>88</v>
      </c>
      <c r="I112" s="5">
        <v>28</v>
      </c>
      <c r="J112" s="6">
        <v>0.32429999999999998</v>
      </c>
      <c r="K112" s="6">
        <v>0.3987</v>
      </c>
      <c r="L112" s="5">
        <v>7.4</v>
      </c>
      <c r="M112" s="5">
        <v>232.9</v>
      </c>
      <c r="N112" s="5">
        <v>217.1</v>
      </c>
      <c r="O112" s="6">
        <v>0.77500000000000002</v>
      </c>
      <c r="P112" s="6">
        <v>0.84</v>
      </c>
      <c r="Q112" s="5">
        <v>143.5</v>
      </c>
      <c r="R112" s="5">
        <v>111</v>
      </c>
      <c r="S112" s="5">
        <v>23.2</v>
      </c>
      <c r="T112" s="5">
        <v>21.3</v>
      </c>
      <c r="U112" s="5">
        <v>-1.9</v>
      </c>
      <c r="V112" s="5">
        <v>133.5</v>
      </c>
      <c r="W112" s="5">
        <v>360.5</v>
      </c>
      <c r="X112" s="5">
        <v>343.9</v>
      </c>
      <c r="Y112" s="5">
        <v>0.3</v>
      </c>
    </row>
    <row r="113" spans="1:25" x14ac:dyDescent="0.3">
      <c r="A113" s="2" cm="1">
        <f t="array" ref="A113">CountByColumnLogic(E113:Z113)</f>
        <v>12</v>
      </c>
      <c r="B113" s="5" t="s">
        <v>130</v>
      </c>
      <c r="C113" s="5" t="s">
        <v>278</v>
      </c>
      <c r="D113" s="8" t="s">
        <v>292</v>
      </c>
      <c r="E113" s="5">
        <v>11.1</v>
      </c>
      <c r="F113" s="5">
        <v>67</v>
      </c>
      <c r="G113" s="5">
        <v>74.400000000000006</v>
      </c>
      <c r="H113" s="5">
        <v>23</v>
      </c>
      <c r="I113" s="5">
        <v>32</v>
      </c>
      <c r="J113" s="6">
        <v>0.46779999999999999</v>
      </c>
      <c r="K113" s="6">
        <v>0.40110000000000001</v>
      </c>
      <c r="L113" s="5">
        <v>6.5</v>
      </c>
      <c r="M113" s="5">
        <v>277.60000000000002</v>
      </c>
      <c r="N113" s="5">
        <v>242.6</v>
      </c>
      <c r="O113" s="6">
        <v>0.74</v>
      </c>
      <c r="P113" s="6">
        <v>0.91669999999999996</v>
      </c>
      <c r="Q113" s="5">
        <v>149.80000000000001</v>
      </c>
      <c r="R113" s="5">
        <v>208.8</v>
      </c>
      <c r="S113" s="5">
        <v>24.2</v>
      </c>
      <c r="T113" s="5">
        <v>38.6</v>
      </c>
      <c r="U113" s="5">
        <v>14.4</v>
      </c>
      <c r="V113" s="5">
        <v>160</v>
      </c>
      <c r="W113" s="5">
        <v>392.4</v>
      </c>
      <c r="X113" s="5">
        <v>486.3</v>
      </c>
      <c r="Y113" s="5">
        <v>0.4</v>
      </c>
    </row>
    <row r="114" spans="1:25" x14ac:dyDescent="0.3">
      <c r="A114" s="2" cm="1">
        <f t="array" ref="A114">CountByColumnLogic(E114:Z114)</f>
        <v>15</v>
      </c>
      <c r="B114" s="5" t="s">
        <v>131</v>
      </c>
      <c r="C114" s="5" t="s">
        <v>276</v>
      </c>
      <c r="D114" s="8" t="s">
        <v>294</v>
      </c>
      <c r="E114" s="5">
        <v>-8.6</v>
      </c>
      <c r="F114" s="5">
        <v>133</v>
      </c>
      <c r="G114" s="5">
        <v>36.1</v>
      </c>
      <c r="H114" s="5">
        <v>105</v>
      </c>
      <c r="I114" s="5">
        <v>79</v>
      </c>
      <c r="J114" s="6">
        <v>0.39889999999999998</v>
      </c>
      <c r="K114" s="6">
        <v>0.45860000000000001</v>
      </c>
      <c r="L114" s="5">
        <v>7.8</v>
      </c>
      <c r="M114" s="5">
        <v>269.5</v>
      </c>
      <c r="N114" s="5">
        <v>237.5</v>
      </c>
      <c r="O114" s="6">
        <v>0.81630000000000003</v>
      </c>
      <c r="P114" s="6">
        <v>0.8095</v>
      </c>
      <c r="Q114" s="5">
        <v>173.2</v>
      </c>
      <c r="R114" s="5">
        <v>136.4</v>
      </c>
      <c r="S114" s="5">
        <v>28</v>
      </c>
      <c r="T114" s="5">
        <v>28</v>
      </c>
      <c r="U114" s="5">
        <v>0</v>
      </c>
      <c r="V114" s="5">
        <v>140.4</v>
      </c>
      <c r="W114" s="5">
        <v>410.7</v>
      </c>
      <c r="X114" s="5">
        <v>405.9</v>
      </c>
      <c r="Y114" s="5">
        <v>1</v>
      </c>
    </row>
    <row r="115" spans="1:25" x14ac:dyDescent="0.3">
      <c r="A115" s="2" cm="1">
        <f t="array" ref="A115">CountByColumnLogic(E115:Z115)</f>
        <v>14</v>
      </c>
      <c r="B115" s="5" t="s">
        <v>132</v>
      </c>
      <c r="C115" s="5" t="s">
        <v>267</v>
      </c>
      <c r="D115" s="8" t="s">
        <v>287</v>
      </c>
      <c r="E115" s="5">
        <v>-3.7</v>
      </c>
      <c r="F115" s="5">
        <v>27</v>
      </c>
      <c r="G115" s="5">
        <v>38.9</v>
      </c>
      <c r="H115" s="5">
        <v>111</v>
      </c>
      <c r="I115" s="5">
        <v>59</v>
      </c>
      <c r="J115" s="6">
        <v>0.377</v>
      </c>
      <c r="K115" s="6">
        <v>0.42109999999999997</v>
      </c>
      <c r="L115" s="5">
        <v>6</v>
      </c>
      <c r="M115" s="5">
        <v>222</v>
      </c>
      <c r="N115" s="5">
        <v>288.89999999999998</v>
      </c>
      <c r="O115" s="6">
        <v>0.77969999999999995</v>
      </c>
      <c r="P115" s="6">
        <v>0.83330000000000004</v>
      </c>
      <c r="Q115" s="5">
        <v>119.3</v>
      </c>
      <c r="R115" s="5">
        <v>84.5</v>
      </c>
      <c r="S115" s="5">
        <v>29.2</v>
      </c>
      <c r="T115" s="5">
        <v>18.8</v>
      </c>
      <c r="U115" s="5">
        <v>-10.3</v>
      </c>
      <c r="V115" s="5">
        <v>120.2</v>
      </c>
      <c r="W115" s="5">
        <v>408.2</v>
      </c>
      <c r="X115" s="5">
        <v>306.5</v>
      </c>
      <c r="Y115" s="5">
        <v>-0.3</v>
      </c>
    </row>
    <row r="116" spans="1:25" x14ac:dyDescent="0.3">
      <c r="A116" s="2" cm="1">
        <f t="array" ref="A116">CountByColumnLogic(E116:Z116)</f>
        <v>18</v>
      </c>
      <c r="B116" s="5" t="s">
        <v>133</v>
      </c>
      <c r="C116" s="5" t="s">
        <v>267</v>
      </c>
      <c r="D116" s="8" t="s">
        <v>299</v>
      </c>
      <c r="E116" s="5">
        <v>-9.3000000000000007</v>
      </c>
      <c r="F116" s="5">
        <v>19</v>
      </c>
      <c r="G116" s="5">
        <v>29</v>
      </c>
      <c r="H116" s="5">
        <v>124</v>
      </c>
      <c r="I116" s="5">
        <v>72</v>
      </c>
      <c r="J116" s="6">
        <v>0.32719999999999999</v>
      </c>
      <c r="K116" s="6">
        <v>0.4</v>
      </c>
      <c r="L116" s="5">
        <v>6.2</v>
      </c>
      <c r="M116" s="5">
        <v>196.3</v>
      </c>
      <c r="N116" s="5">
        <v>248.5</v>
      </c>
      <c r="O116" s="6">
        <v>0.93020000000000003</v>
      </c>
      <c r="P116" s="6">
        <v>0.76470000000000005</v>
      </c>
      <c r="Q116" s="5">
        <v>182.3</v>
      </c>
      <c r="R116" s="5">
        <v>118.5</v>
      </c>
      <c r="S116" s="5">
        <v>35.9</v>
      </c>
      <c r="T116" s="5">
        <v>16</v>
      </c>
      <c r="U116" s="5">
        <v>-19.899999999999999</v>
      </c>
      <c r="V116" s="5">
        <v>106.1</v>
      </c>
      <c r="W116" s="5">
        <v>430.7</v>
      </c>
      <c r="X116" s="5">
        <v>314.7</v>
      </c>
      <c r="Y116" s="5">
        <v>-1.3</v>
      </c>
    </row>
    <row r="117" spans="1:25" x14ac:dyDescent="0.3">
      <c r="A117" s="2" cm="1">
        <f t="array" ref="A117">CountByColumnLogic(E117:Z117)</f>
        <v>14</v>
      </c>
      <c r="B117" s="5" t="s">
        <v>134</v>
      </c>
      <c r="C117" s="5" t="s">
        <v>277</v>
      </c>
      <c r="D117" s="8" t="s">
        <v>292</v>
      </c>
      <c r="E117" s="5">
        <v>9.4</v>
      </c>
      <c r="F117" s="5">
        <v>50</v>
      </c>
      <c r="G117" s="5">
        <v>69.5</v>
      </c>
      <c r="H117" s="5">
        <v>33</v>
      </c>
      <c r="I117" s="5">
        <v>41</v>
      </c>
      <c r="J117" s="6">
        <v>0.4506</v>
      </c>
      <c r="K117" s="6">
        <v>0.36749999999999999</v>
      </c>
      <c r="L117" s="5">
        <v>7</v>
      </c>
      <c r="M117" s="5">
        <v>284.2</v>
      </c>
      <c r="N117" s="5">
        <v>243.1</v>
      </c>
      <c r="O117" s="6">
        <v>0.85</v>
      </c>
      <c r="P117" s="6">
        <v>0.79249999999999998</v>
      </c>
      <c r="Q117" s="5">
        <v>129.4</v>
      </c>
      <c r="R117" s="5">
        <v>131.69999999999999</v>
      </c>
      <c r="S117" s="5">
        <v>25.7</v>
      </c>
      <c r="T117" s="5">
        <v>29.8</v>
      </c>
      <c r="U117" s="5">
        <v>4.0999999999999996</v>
      </c>
      <c r="V117" s="5">
        <v>146.1</v>
      </c>
      <c r="W117" s="5">
        <v>372.5</v>
      </c>
      <c r="X117" s="5">
        <v>415.8</v>
      </c>
      <c r="Y117" s="5">
        <v>0.2</v>
      </c>
    </row>
    <row r="118" spans="1:25" x14ac:dyDescent="0.3">
      <c r="A118" s="2" cm="1">
        <f t="array" ref="A118">CountByColumnLogic(E118:Z118)</f>
        <v>16</v>
      </c>
      <c r="B118" s="5" t="s">
        <v>135</v>
      </c>
      <c r="C118" s="5" t="s">
        <v>278</v>
      </c>
      <c r="D118" s="8" t="s">
        <v>288</v>
      </c>
      <c r="E118" s="5">
        <v>-8.4</v>
      </c>
      <c r="F118" s="5">
        <v>81</v>
      </c>
      <c r="G118" s="5">
        <v>37.299999999999997</v>
      </c>
      <c r="H118" s="5">
        <v>50</v>
      </c>
      <c r="I118" s="5">
        <v>123</v>
      </c>
      <c r="J118" s="6">
        <v>0.35170000000000001</v>
      </c>
      <c r="K118" s="6">
        <v>0.40300000000000002</v>
      </c>
      <c r="L118" s="5">
        <v>4.9000000000000004</v>
      </c>
      <c r="M118" s="5">
        <v>194.5</v>
      </c>
      <c r="N118" s="5">
        <v>214.1</v>
      </c>
      <c r="O118" s="6">
        <v>0.90910000000000002</v>
      </c>
      <c r="P118" s="6">
        <v>0.88890000000000002</v>
      </c>
      <c r="Q118" s="5">
        <v>207.9</v>
      </c>
      <c r="R118" s="5">
        <v>131.30000000000001</v>
      </c>
      <c r="S118" s="5">
        <v>31.7</v>
      </c>
      <c r="T118" s="5">
        <v>25.4</v>
      </c>
      <c r="U118" s="5">
        <v>-6.4</v>
      </c>
      <c r="V118" s="5">
        <v>137.30000000000001</v>
      </c>
      <c r="W118" s="5">
        <v>422</v>
      </c>
      <c r="X118" s="5">
        <v>325.7</v>
      </c>
      <c r="Y118" s="5">
        <v>0.9</v>
      </c>
    </row>
    <row r="119" spans="1:25" x14ac:dyDescent="0.3">
      <c r="A119" s="2" cm="1">
        <f t="array" ref="A119">CountByColumnLogic(E119:Z119)</f>
        <v>12</v>
      </c>
      <c r="B119" s="5" t="s">
        <v>136</v>
      </c>
      <c r="C119" s="5" t="s">
        <v>266</v>
      </c>
      <c r="D119" s="8" t="s">
        <v>291</v>
      </c>
      <c r="E119" s="5">
        <v>14.3</v>
      </c>
      <c r="F119" s="5">
        <v>36</v>
      </c>
      <c r="G119" s="5">
        <v>75</v>
      </c>
      <c r="H119" s="5">
        <v>10</v>
      </c>
      <c r="I119" s="5">
        <v>45</v>
      </c>
      <c r="J119" s="6">
        <v>0.48299999999999998</v>
      </c>
      <c r="K119" s="6">
        <v>0.43209999999999998</v>
      </c>
      <c r="L119" s="5">
        <v>6.2</v>
      </c>
      <c r="M119" s="5">
        <v>279.10000000000002</v>
      </c>
      <c r="N119" s="5">
        <v>251.7</v>
      </c>
      <c r="O119" s="6">
        <v>0.88370000000000004</v>
      </c>
      <c r="P119" s="6">
        <v>0.81130000000000002</v>
      </c>
      <c r="Q119" s="5">
        <v>160.6</v>
      </c>
      <c r="R119" s="5">
        <v>166.8</v>
      </c>
      <c r="S119" s="5">
        <v>29.8</v>
      </c>
      <c r="T119" s="5">
        <v>37.1</v>
      </c>
      <c r="U119" s="5">
        <v>7.3</v>
      </c>
      <c r="V119" s="5">
        <v>152.69999999999999</v>
      </c>
      <c r="W119" s="5">
        <v>412.3</v>
      </c>
      <c r="X119" s="5">
        <v>445.8</v>
      </c>
      <c r="Y119" s="5">
        <v>0.4</v>
      </c>
    </row>
    <row r="120" spans="1:25" x14ac:dyDescent="0.3">
      <c r="A120" s="2" cm="1">
        <f t="array" ref="A120">CountByColumnLogic(E120:Z120)</f>
        <v>10</v>
      </c>
      <c r="B120" s="5" t="s">
        <v>137</v>
      </c>
      <c r="C120" s="5" t="s">
        <v>266</v>
      </c>
      <c r="D120" s="8" t="s">
        <v>308</v>
      </c>
      <c r="E120" s="5">
        <v>18.399999999999999</v>
      </c>
      <c r="F120" s="5">
        <v>18</v>
      </c>
      <c r="G120" s="5">
        <v>80.599999999999994</v>
      </c>
      <c r="H120" s="5">
        <v>16</v>
      </c>
      <c r="I120" s="5">
        <v>10</v>
      </c>
      <c r="J120" s="6">
        <v>0.40250000000000002</v>
      </c>
      <c r="K120" s="6">
        <v>0.24679999999999999</v>
      </c>
      <c r="L120" s="5">
        <v>7.4</v>
      </c>
      <c r="M120" s="5">
        <v>262.5</v>
      </c>
      <c r="N120" s="5">
        <v>187.5</v>
      </c>
      <c r="O120" s="6">
        <v>0.94120000000000004</v>
      </c>
      <c r="P120" s="6">
        <v>0.80389999999999995</v>
      </c>
      <c r="Q120" s="5">
        <v>140</v>
      </c>
      <c r="R120" s="5">
        <v>179.7</v>
      </c>
      <c r="S120" s="5">
        <v>22.8</v>
      </c>
      <c r="T120" s="5">
        <v>32.6</v>
      </c>
      <c r="U120" s="5">
        <v>9.8000000000000007</v>
      </c>
      <c r="V120" s="5">
        <v>146.19999999999999</v>
      </c>
      <c r="W120" s="5">
        <v>327.5</v>
      </c>
      <c r="X120" s="5">
        <v>442.2</v>
      </c>
      <c r="Y120" s="5">
        <v>-0.6</v>
      </c>
    </row>
    <row r="121" spans="1:25" x14ac:dyDescent="0.3">
      <c r="A121" s="2" cm="1">
        <f t="array" ref="A121">CountByColumnLogic(E121:Z121)</f>
        <v>7</v>
      </c>
      <c r="B121" s="5" t="s">
        <v>138</v>
      </c>
      <c r="C121" s="5" t="s">
        <v>266</v>
      </c>
      <c r="D121" s="8" t="s">
        <v>300</v>
      </c>
      <c r="E121" s="5">
        <v>18.600000000000001</v>
      </c>
      <c r="F121" s="5">
        <v>9</v>
      </c>
      <c r="G121" s="5">
        <v>78.7</v>
      </c>
      <c r="H121" s="5">
        <v>34</v>
      </c>
      <c r="I121" s="5">
        <v>11</v>
      </c>
      <c r="J121" s="6">
        <v>0.39200000000000002</v>
      </c>
      <c r="K121" s="6">
        <v>0.32990000000000003</v>
      </c>
      <c r="L121" s="5">
        <v>8.3000000000000007</v>
      </c>
      <c r="M121" s="5">
        <v>250.7</v>
      </c>
      <c r="N121" s="5">
        <v>234.9</v>
      </c>
      <c r="O121" s="6">
        <v>0.81079999999999997</v>
      </c>
      <c r="P121" s="6">
        <v>0.85109999999999997</v>
      </c>
      <c r="Q121" s="5">
        <v>103.9</v>
      </c>
      <c r="R121" s="5">
        <v>137.80000000000001</v>
      </c>
      <c r="S121" s="5">
        <v>20.3</v>
      </c>
      <c r="T121" s="5">
        <v>30.5</v>
      </c>
      <c r="U121" s="5">
        <v>10.199999999999999</v>
      </c>
      <c r="V121" s="5">
        <v>145.30000000000001</v>
      </c>
      <c r="W121" s="5">
        <v>338.8</v>
      </c>
      <c r="X121" s="5">
        <v>388.5</v>
      </c>
      <c r="Y121" s="5">
        <v>1.1000000000000001</v>
      </c>
    </row>
    <row r="122" spans="1:25" x14ac:dyDescent="0.3">
      <c r="A122" s="2" cm="1">
        <f t="array" ref="A122">CountByColumnLogic(E122:Z122)</f>
        <v>13</v>
      </c>
      <c r="B122" s="5" t="s">
        <v>139</v>
      </c>
      <c r="C122" s="5" t="s">
        <v>276</v>
      </c>
      <c r="D122" s="8" t="s">
        <v>294</v>
      </c>
      <c r="E122" s="5">
        <v>-1.5</v>
      </c>
      <c r="F122" s="5">
        <v>119</v>
      </c>
      <c r="G122" s="5">
        <v>49.3</v>
      </c>
      <c r="H122" s="5">
        <v>31</v>
      </c>
      <c r="I122" s="5">
        <v>109</v>
      </c>
      <c r="J122" s="6">
        <v>0.43130000000000002</v>
      </c>
      <c r="K122" s="6">
        <v>0.41620000000000001</v>
      </c>
      <c r="L122" s="5">
        <v>7</v>
      </c>
      <c r="M122" s="5">
        <v>255.3</v>
      </c>
      <c r="N122" s="5">
        <v>228.1</v>
      </c>
      <c r="O122" s="6">
        <v>0.88680000000000003</v>
      </c>
      <c r="P122" s="6">
        <v>0.9123</v>
      </c>
      <c r="Q122" s="5">
        <v>168.2</v>
      </c>
      <c r="R122" s="5">
        <v>223.4</v>
      </c>
      <c r="S122" s="5">
        <v>31.2</v>
      </c>
      <c r="T122" s="5">
        <v>36.6</v>
      </c>
      <c r="U122" s="5">
        <v>5.4</v>
      </c>
      <c r="V122" s="5">
        <v>163.19999999999999</v>
      </c>
      <c r="W122" s="5">
        <v>396.3</v>
      </c>
      <c r="X122" s="5">
        <v>478.8</v>
      </c>
      <c r="Y122" s="5">
        <v>-0.3</v>
      </c>
    </row>
    <row r="123" spans="1:25" x14ac:dyDescent="0.3">
      <c r="A123" s="2" cm="1">
        <f t="array" ref="A123">CountByColumnLogic(E123:Z123)</f>
        <v>4</v>
      </c>
      <c r="B123" s="5" t="s">
        <v>140</v>
      </c>
      <c r="C123" s="5" t="s">
        <v>277</v>
      </c>
      <c r="D123" s="8" t="s">
        <v>295</v>
      </c>
      <c r="E123" s="5">
        <v>21.5</v>
      </c>
      <c r="F123" s="5">
        <v>46</v>
      </c>
      <c r="G123" s="5">
        <v>91.3</v>
      </c>
      <c r="H123" s="5">
        <v>35</v>
      </c>
      <c r="I123" s="5">
        <v>1</v>
      </c>
      <c r="J123" s="6">
        <v>0.48830000000000001</v>
      </c>
      <c r="K123" s="6">
        <v>0.3</v>
      </c>
      <c r="L123" s="5">
        <v>6.8</v>
      </c>
      <c r="M123" s="5">
        <v>273.2</v>
      </c>
      <c r="N123" s="5">
        <v>194.9</v>
      </c>
      <c r="O123" s="6">
        <v>0.77780000000000005</v>
      </c>
      <c r="P123" s="6">
        <v>0.86150000000000004</v>
      </c>
      <c r="Q123" s="5">
        <v>69.900000000000006</v>
      </c>
      <c r="R123" s="5">
        <v>170.5</v>
      </c>
      <c r="S123" s="5">
        <v>12.2</v>
      </c>
      <c r="T123" s="5">
        <v>37.299999999999997</v>
      </c>
      <c r="U123" s="5">
        <v>25.2</v>
      </c>
      <c r="V123" s="5">
        <v>145.5</v>
      </c>
      <c r="W123" s="5">
        <v>264.8</v>
      </c>
      <c r="X123" s="5">
        <v>443.6</v>
      </c>
      <c r="Y123" s="5">
        <v>1</v>
      </c>
    </row>
    <row r="124" spans="1:25" x14ac:dyDescent="0.3">
      <c r="A124" s="2" cm="1">
        <f t="array" ref="A124">CountByColumnLogic(E124:Z124)</f>
        <v>9</v>
      </c>
      <c r="B124" s="5" t="s">
        <v>141</v>
      </c>
      <c r="C124" s="5" t="s">
        <v>275</v>
      </c>
      <c r="D124" s="8" t="s">
        <v>291</v>
      </c>
      <c r="E124" s="5">
        <v>4.3</v>
      </c>
      <c r="F124" s="5">
        <v>114</v>
      </c>
      <c r="G124" s="5">
        <v>62.1</v>
      </c>
      <c r="H124" s="5">
        <v>77</v>
      </c>
      <c r="I124" s="5">
        <v>22</v>
      </c>
      <c r="J124" s="6">
        <v>0.39379999999999998</v>
      </c>
      <c r="K124" s="6">
        <v>0.30990000000000001</v>
      </c>
      <c r="L124" s="5">
        <v>8.6999999999999993</v>
      </c>
      <c r="M124" s="5">
        <v>233.2</v>
      </c>
      <c r="N124" s="5">
        <v>169.5</v>
      </c>
      <c r="O124" s="6">
        <v>0.68969999999999998</v>
      </c>
      <c r="P124" s="6">
        <v>0.71430000000000005</v>
      </c>
      <c r="Q124" s="5">
        <v>104.4</v>
      </c>
      <c r="R124" s="5">
        <v>170.3</v>
      </c>
      <c r="S124" s="5">
        <v>14.4</v>
      </c>
      <c r="T124" s="5">
        <v>28.4</v>
      </c>
      <c r="U124" s="5">
        <v>14</v>
      </c>
      <c r="V124" s="5">
        <v>144.5</v>
      </c>
      <c r="W124" s="5">
        <v>273.89999999999998</v>
      </c>
      <c r="X124" s="5">
        <v>403.4</v>
      </c>
      <c r="Y124" s="5">
        <v>0.5</v>
      </c>
    </row>
    <row r="125" spans="1:25" x14ac:dyDescent="0.3">
      <c r="A125" s="2" cm="1">
        <f t="array" ref="A125">CountByColumnLogic(E125:Z125)</f>
        <v>16</v>
      </c>
      <c r="B125" s="5" t="s">
        <v>142</v>
      </c>
      <c r="C125" s="5" t="s">
        <v>276</v>
      </c>
      <c r="D125" s="8" t="s">
        <v>311</v>
      </c>
      <c r="E125" s="5">
        <v>-6.8</v>
      </c>
      <c r="F125" s="5">
        <v>99</v>
      </c>
      <c r="G125" s="5">
        <v>38.1</v>
      </c>
      <c r="H125" s="5">
        <v>117</v>
      </c>
      <c r="I125" s="5">
        <v>61</v>
      </c>
      <c r="J125" s="6">
        <v>0.37190000000000001</v>
      </c>
      <c r="K125" s="6">
        <v>0.38340000000000002</v>
      </c>
      <c r="L125" s="5">
        <v>5.4</v>
      </c>
      <c r="M125" s="5">
        <v>214.2</v>
      </c>
      <c r="N125" s="5">
        <v>197.2</v>
      </c>
      <c r="O125" s="6">
        <v>0.76739999999999997</v>
      </c>
      <c r="P125" s="6">
        <v>0.83779999999999999</v>
      </c>
      <c r="Q125" s="5">
        <v>185</v>
      </c>
      <c r="R125" s="5">
        <v>84.7</v>
      </c>
      <c r="S125" s="5">
        <v>24.2</v>
      </c>
      <c r="T125" s="5">
        <v>22.4</v>
      </c>
      <c r="U125" s="5">
        <v>-1.8</v>
      </c>
      <c r="V125" s="5">
        <v>123</v>
      </c>
      <c r="W125" s="5">
        <v>382.2</v>
      </c>
      <c r="X125" s="5">
        <v>298.89999999999998</v>
      </c>
      <c r="Y125" s="5">
        <v>-0.1</v>
      </c>
    </row>
    <row r="126" spans="1:25" x14ac:dyDescent="0.3">
      <c r="A126" s="2" cm="1">
        <f t="array" ref="A126">CountByColumnLogic(E126:Z126)</f>
        <v>13</v>
      </c>
      <c r="B126" s="5" t="s">
        <v>143</v>
      </c>
      <c r="C126" s="5" t="s">
        <v>278</v>
      </c>
      <c r="D126" s="8" t="s">
        <v>312</v>
      </c>
      <c r="E126" s="5">
        <v>3.7</v>
      </c>
      <c r="F126" s="5">
        <v>65</v>
      </c>
      <c r="G126" s="5">
        <v>63</v>
      </c>
      <c r="H126" s="5">
        <v>46</v>
      </c>
      <c r="I126" s="5">
        <v>52</v>
      </c>
      <c r="J126" s="6">
        <v>0.42080000000000001</v>
      </c>
      <c r="K126" s="6">
        <v>0.3957</v>
      </c>
      <c r="L126" s="5">
        <v>6.9</v>
      </c>
      <c r="M126" s="5">
        <v>245.1</v>
      </c>
      <c r="N126" s="5">
        <v>261.60000000000002</v>
      </c>
      <c r="O126" s="6">
        <v>0.8</v>
      </c>
      <c r="P126" s="6">
        <v>0.89290000000000003</v>
      </c>
      <c r="Q126" s="5">
        <v>122.6</v>
      </c>
      <c r="R126" s="5">
        <v>166.4</v>
      </c>
      <c r="S126" s="5">
        <v>23.9</v>
      </c>
      <c r="T126" s="5">
        <v>27.7</v>
      </c>
      <c r="U126" s="5">
        <v>3.8</v>
      </c>
      <c r="V126" s="5">
        <v>139.19999999999999</v>
      </c>
      <c r="W126" s="5">
        <v>384.2</v>
      </c>
      <c r="X126" s="5">
        <v>411.6</v>
      </c>
      <c r="Y126" s="5">
        <v>0.6</v>
      </c>
    </row>
    <row r="127" spans="1:25" x14ac:dyDescent="0.3">
      <c r="A127" s="2" cm="1">
        <f t="array" ref="A127">CountByColumnLogic(E127:Z127)</f>
        <v>14</v>
      </c>
      <c r="B127" s="5" t="s">
        <v>144</v>
      </c>
      <c r="C127" s="5" t="s">
        <v>278</v>
      </c>
      <c r="D127" s="8" t="s">
        <v>287</v>
      </c>
      <c r="E127" s="5">
        <v>-14</v>
      </c>
      <c r="F127" s="5">
        <v>118</v>
      </c>
      <c r="G127" s="5">
        <v>29.2</v>
      </c>
      <c r="H127" s="5">
        <v>110</v>
      </c>
      <c r="I127" s="5">
        <v>104</v>
      </c>
      <c r="J127" s="6">
        <v>0.37430000000000002</v>
      </c>
      <c r="K127" s="6">
        <v>0.43790000000000001</v>
      </c>
      <c r="L127" s="5">
        <v>4.5999999999999996</v>
      </c>
      <c r="M127" s="5">
        <v>221.3</v>
      </c>
      <c r="N127" s="5">
        <v>221</v>
      </c>
      <c r="O127" s="6">
        <v>0.91300000000000003</v>
      </c>
      <c r="P127" s="6">
        <v>0.82499999999999996</v>
      </c>
      <c r="Q127" s="5">
        <v>188.1</v>
      </c>
      <c r="R127" s="5">
        <v>167.5</v>
      </c>
      <c r="S127" s="5">
        <v>30.9</v>
      </c>
      <c r="T127" s="5">
        <v>22.1</v>
      </c>
      <c r="U127" s="5">
        <v>-8.8000000000000007</v>
      </c>
      <c r="V127" s="5">
        <v>119</v>
      </c>
      <c r="W127" s="5">
        <v>409.1</v>
      </c>
      <c r="X127" s="5">
        <v>388.8</v>
      </c>
      <c r="Y127" s="5">
        <v>-0.8</v>
      </c>
    </row>
    <row r="128" spans="1:25" x14ac:dyDescent="0.3">
      <c r="A128" s="2" cm="1">
        <f t="array" ref="A128">CountByColumnLogic(E128:Z128)</f>
        <v>17</v>
      </c>
      <c r="B128" s="5" t="s">
        <v>145</v>
      </c>
      <c r="C128" s="5" t="s">
        <v>278</v>
      </c>
      <c r="D128" s="8" t="s">
        <v>287</v>
      </c>
      <c r="E128" s="5">
        <v>-14.9</v>
      </c>
      <c r="F128" s="5">
        <v>84</v>
      </c>
      <c r="G128" s="5">
        <v>21.3</v>
      </c>
      <c r="H128" s="5">
        <v>89</v>
      </c>
      <c r="I128" s="5">
        <v>133</v>
      </c>
      <c r="J128" s="6">
        <v>0.45960000000000001</v>
      </c>
      <c r="K128" s="6">
        <v>0.44030000000000002</v>
      </c>
      <c r="L128" s="5">
        <v>7.6</v>
      </c>
      <c r="M128" s="5">
        <v>267.3</v>
      </c>
      <c r="N128" s="5">
        <v>224.2</v>
      </c>
      <c r="O128" s="6">
        <v>0.89580000000000004</v>
      </c>
      <c r="P128" s="6">
        <v>0.78949999999999998</v>
      </c>
      <c r="Q128" s="5">
        <v>190.9</v>
      </c>
      <c r="R128" s="5">
        <v>126.5</v>
      </c>
      <c r="S128" s="5">
        <v>37.9</v>
      </c>
      <c r="T128" s="5">
        <v>24.1</v>
      </c>
      <c r="U128" s="5">
        <v>-13.8</v>
      </c>
      <c r="V128" s="5">
        <v>130.9</v>
      </c>
      <c r="W128" s="5">
        <v>415.1</v>
      </c>
      <c r="X128" s="5">
        <v>393.8</v>
      </c>
      <c r="Y128" s="5">
        <v>-1.2</v>
      </c>
    </row>
    <row r="129" spans="1:25" x14ac:dyDescent="0.3">
      <c r="A129" s="2" cm="1">
        <f t="array" ref="A129">CountByColumnLogic(E129:Z129)</f>
        <v>18</v>
      </c>
      <c r="B129" s="5" t="s">
        <v>146</v>
      </c>
      <c r="C129" s="5" t="s">
        <v>277</v>
      </c>
      <c r="D129" s="8" t="s">
        <v>288</v>
      </c>
      <c r="E129" s="5">
        <v>-0.8</v>
      </c>
      <c r="F129" s="5">
        <v>55</v>
      </c>
      <c r="G129" s="5">
        <v>41.2</v>
      </c>
      <c r="H129" s="5">
        <v>106</v>
      </c>
      <c r="I129" s="5">
        <v>55</v>
      </c>
      <c r="J129" s="6">
        <v>0.33119999999999999</v>
      </c>
      <c r="K129" s="6">
        <v>0.375</v>
      </c>
      <c r="L129" s="5">
        <v>7.7</v>
      </c>
      <c r="M129" s="5">
        <v>222.3</v>
      </c>
      <c r="N129" s="5">
        <v>198.3</v>
      </c>
      <c r="O129" s="6">
        <v>0.89470000000000005</v>
      </c>
      <c r="P129" s="6">
        <v>0.82140000000000002</v>
      </c>
      <c r="Q129" s="5">
        <v>150.19999999999999</v>
      </c>
      <c r="R129" s="5">
        <v>140.9</v>
      </c>
      <c r="S129" s="5">
        <v>25.1</v>
      </c>
      <c r="T129" s="5">
        <v>20.399999999999999</v>
      </c>
      <c r="U129" s="5">
        <v>-4.7</v>
      </c>
      <c r="V129" s="5">
        <v>120.6</v>
      </c>
      <c r="W129" s="5">
        <v>348.5</v>
      </c>
      <c r="X129" s="5">
        <v>363.2</v>
      </c>
      <c r="Y129" s="5">
        <v>-0.6</v>
      </c>
    </row>
    <row r="130" spans="1:25" x14ac:dyDescent="0.3">
      <c r="A130" s="2" cm="1">
        <f t="array" ref="A130">CountByColumnLogic(E130:Z130)</f>
        <v>18</v>
      </c>
      <c r="B130" s="5" t="s">
        <v>147</v>
      </c>
      <c r="C130" s="5" t="s">
        <v>268</v>
      </c>
      <c r="D130" s="8" t="s">
        <v>299</v>
      </c>
      <c r="E130" s="5">
        <v>-2.4</v>
      </c>
      <c r="F130" s="5">
        <v>5</v>
      </c>
      <c r="G130" s="5">
        <v>39.799999999999997</v>
      </c>
      <c r="H130" s="5">
        <v>87</v>
      </c>
      <c r="I130" s="5">
        <v>92</v>
      </c>
      <c r="J130" s="6">
        <v>0.37340000000000001</v>
      </c>
      <c r="K130" s="6">
        <v>0.54790000000000005</v>
      </c>
      <c r="L130" s="5">
        <v>7.5</v>
      </c>
      <c r="M130" s="5">
        <v>180.3</v>
      </c>
      <c r="N130" s="5">
        <v>196.6</v>
      </c>
      <c r="O130" s="6">
        <v>0.84309999999999996</v>
      </c>
      <c r="P130" s="6">
        <v>0.9355</v>
      </c>
      <c r="Q130" s="5">
        <v>190.7</v>
      </c>
      <c r="R130" s="5">
        <v>140.5</v>
      </c>
      <c r="S130" s="5">
        <v>33.4</v>
      </c>
      <c r="T130" s="5">
        <v>18.2</v>
      </c>
      <c r="U130" s="5">
        <v>-15.3</v>
      </c>
      <c r="V130" s="5">
        <v>123.6</v>
      </c>
      <c r="W130" s="5">
        <v>387.3</v>
      </c>
      <c r="X130" s="5">
        <v>320.8</v>
      </c>
      <c r="Y130" s="5">
        <v>-0.3</v>
      </c>
    </row>
    <row r="131" spans="1:25" x14ac:dyDescent="0.3">
      <c r="A131" s="2" cm="1">
        <f t="array" ref="A131">CountByColumnLogic(E131:Z131)</f>
        <v>13</v>
      </c>
      <c r="B131" s="5" t="s">
        <v>148</v>
      </c>
      <c r="C131" s="5" t="s">
        <v>284</v>
      </c>
      <c r="D131" s="8" t="s">
        <v>292</v>
      </c>
      <c r="E131" s="5">
        <v>-3.5</v>
      </c>
      <c r="F131" s="5">
        <v>132</v>
      </c>
      <c r="G131" s="5">
        <v>48.7</v>
      </c>
      <c r="H131" s="5">
        <v>36</v>
      </c>
      <c r="I131" s="5">
        <v>112</v>
      </c>
      <c r="J131" s="6">
        <v>0.37659999999999999</v>
      </c>
      <c r="K131" s="6">
        <v>0.378</v>
      </c>
      <c r="L131" s="5">
        <v>4.7</v>
      </c>
      <c r="M131" s="5">
        <v>275.2</v>
      </c>
      <c r="N131" s="5">
        <v>225.9</v>
      </c>
      <c r="O131" s="6">
        <v>0.878</v>
      </c>
      <c r="P131" s="6">
        <v>0.85109999999999997</v>
      </c>
      <c r="Q131" s="5">
        <v>205.8</v>
      </c>
      <c r="R131" s="5">
        <v>155</v>
      </c>
      <c r="S131" s="5">
        <v>28.2</v>
      </c>
      <c r="T131" s="5">
        <v>33.299999999999997</v>
      </c>
      <c r="U131" s="5">
        <v>5.2</v>
      </c>
      <c r="V131" s="5">
        <v>154.9</v>
      </c>
      <c r="W131" s="5">
        <v>431.7</v>
      </c>
      <c r="X131" s="5">
        <v>430.2</v>
      </c>
      <c r="Y131" s="5">
        <v>1.3</v>
      </c>
    </row>
    <row r="132" spans="1:25" x14ac:dyDescent="0.3">
      <c r="A132" s="2" cm="1">
        <f t="array" ref="A132">CountByColumnLogic(E132:Z132)</f>
        <v>20</v>
      </c>
      <c r="B132" s="5" t="s">
        <v>149</v>
      </c>
      <c r="C132" s="5" t="s">
        <v>276</v>
      </c>
      <c r="D132" s="8" t="s">
        <v>299</v>
      </c>
      <c r="E132" s="5">
        <v>-19.2</v>
      </c>
      <c r="F132" s="5">
        <v>92</v>
      </c>
      <c r="G132" s="5">
        <v>20.9</v>
      </c>
      <c r="H132" s="5">
        <v>119</v>
      </c>
      <c r="I132" s="5">
        <v>110</v>
      </c>
      <c r="J132" s="6">
        <v>0.31390000000000001</v>
      </c>
      <c r="K132" s="6">
        <v>0.441</v>
      </c>
      <c r="L132" s="5">
        <v>7.5</v>
      </c>
      <c r="M132" s="5">
        <v>163.80000000000001</v>
      </c>
      <c r="N132" s="5">
        <v>237.9</v>
      </c>
      <c r="O132" s="6">
        <v>0.84309999999999996</v>
      </c>
      <c r="P132" s="6">
        <v>0.56520000000000004</v>
      </c>
      <c r="Q132" s="5">
        <v>170.2</v>
      </c>
      <c r="R132" s="5">
        <v>147.1</v>
      </c>
      <c r="S132" s="5">
        <v>34.799999999999997</v>
      </c>
      <c r="T132" s="5">
        <v>15.5</v>
      </c>
      <c r="U132" s="5">
        <v>-19.399999999999999</v>
      </c>
      <c r="V132" s="5">
        <v>119.2</v>
      </c>
      <c r="W132" s="5">
        <v>408.1</v>
      </c>
      <c r="X132" s="5">
        <v>310.89999999999998</v>
      </c>
      <c r="Y132" s="5">
        <v>-0.9</v>
      </c>
    </row>
    <row r="133" spans="1:25" x14ac:dyDescent="0.3">
      <c r="A133" s="2" cm="1">
        <f t="array" ref="A133">CountByColumnLogic(E133:Z133)</f>
        <v>12</v>
      </c>
      <c r="B133" s="5" t="s">
        <v>150</v>
      </c>
      <c r="C133" s="5" t="s">
        <v>274</v>
      </c>
      <c r="D133" s="8" t="s">
        <v>304</v>
      </c>
      <c r="E133" s="5">
        <v>0.1</v>
      </c>
      <c r="F133" s="5">
        <v>125</v>
      </c>
      <c r="G133" s="5">
        <v>48.1</v>
      </c>
      <c r="H133" s="5">
        <v>37</v>
      </c>
      <c r="I133" s="5">
        <v>111</v>
      </c>
      <c r="J133" s="6">
        <v>0.46789999999999998</v>
      </c>
      <c r="K133" s="6">
        <v>0.32479999999999998</v>
      </c>
      <c r="L133" s="5">
        <v>7.6</v>
      </c>
      <c r="M133" s="5">
        <v>252.3</v>
      </c>
      <c r="N133" s="5">
        <v>229.9</v>
      </c>
      <c r="O133" s="6">
        <v>0.9143</v>
      </c>
      <c r="P133" s="6">
        <v>0.92449999999999999</v>
      </c>
      <c r="Q133" s="5">
        <v>178.8</v>
      </c>
      <c r="R133" s="5">
        <v>187.6</v>
      </c>
      <c r="S133" s="5">
        <v>27.8</v>
      </c>
      <c r="T133" s="5">
        <v>33.799999999999997</v>
      </c>
      <c r="U133" s="5">
        <v>6</v>
      </c>
      <c r="V133" s="5">
        <v>148.6</v>
      </c>
      <c r="W133" s="5">
        <v>408.8</v>
      </c>
      <c r="X133" s="5">
        <v>439.9</v>
      </c>
      <c r="Y133" s="5">
        <v>0.3</v>
      </c>
    </row>
    <row r="134" spans="1:25" x14ac:dyDescent="0.3">
      <c r="A134" s="2" cm="1">
        <f t="array" ref="A134">CountByColumnLogic(E134:Z134)</f>
        <v>8</v>
      </c>
      <c r="B134" s="5" t="s">
        <v>151</v>
      </c>
      <c r="C134" s="5" t="s">
        <v>268</v>
      </c>
      <c r="D134" s="8" t="s">
        <v>292</v>
      </c>
      <c r="E134" s="5">
        <v>18</v>
      </c>
      <c r="F134" s="5">
        <v>30</v>
      </c>
      <c r="G134" s="5">
        <v>78.400000000000006</v>
      </c>
      <c r="H134" s="5">
        <v>4</v>
      </c>
      <c r="I134" s="5">
        <v>53</v>
      </c>
      <c r="J134" s="6">
        <v>0.51319999999999999</v>
      </c>
      <c r="K134" s="6">
        <v>0.40129999999999999</v>
      </c>
      <c r="L134" s="5">
        <v>5.8</v>
      </c>
      <c r="M134" s="5">
        <v>296</v>
      </c>
      <c r="N134" s="5">
        <v>207.5</v>
      </c>
      <c r="O134" s="6">
        <v>0.76190000000000002</v>
      </c>
      <c r="P134" s="6">
        <v>0.9032</v>
      </c>
      <c r="Q134" s="5">
        <v>143.19999999999999</v>
      </c>
      <c r="R134" s="5">
        <v>169.9</v>
      </c>
      <c r="S134" s="5">
        <v>23</v>
      </c>
      <c r="T134" s="5">
        <v>35.799999999999997</v>
      </c>
      <c r="U134" s="5">
        <v>12.8</v>
      </c>
      <c r="V134" s="5">
        <v>159.30000000000001</v>
      </c>
      <c r="W134" s="5">
        <v>350.8</v>
      </c>
      <c r="X134" s="5">
        <v>465.9</v>
      </c>
      <c r="Y134" s="5">
        <v>0.2</v>
      </c>
    </row>
    <row r="135" spans="1:25" x14ac:dyDescent="0.3">
      <c r="A135" s="2" cm="1">
        <f t="array" ref="A135">CountByColumnLogic(E135:Z135)</f>
        <v>16</v>
      </c>
      <c r="B135" s="5" t="s">
        <v>154</v>
      </c>
      <c r="C135" s="5" t="s">
        <v>280</v>
      </c>
      <c r="D135" s="8" t="s">
        <v>293</v>
      </c>
      <c r="E135" s="5">
        <v>-16.600000000000001</v>
      </c>
      <c r="F135" s="5">
        <v>110</v>
      </c>
      <c r="G135" s="5">
        <v>21.3</v>
      </c>
      <c r="H135" s="5">
        <v>131</v>
      </c>
      <c r="I135" s="5">
        <v>95</v>
      </c>
      <c r="J135" s="6">
        <v>0.30120000000000002</v>
      </c>
      <c r="K135" s="6">
        <v>0.29110000000000003</v>
      </c>
      <c r="L135" s="5">
        <v>6.1</v>
      </c>
      <c r="M135" s="5">
        <v>210.6</v>
      </c>
      <c r="N135" s="5">
        <v>215.2</v>
      </c>
      <c r="O135" s="6">
        <v>0.89580000000000004</v>
      </c>
      <c r="P135" s="6">
        <v>0.84</v>
      </c>
      <c r="Q135" s="5">
        <v>178.7</v>
      </c>
      <c r="R135" s="5">
        <v>108.5</v>
      </c>
      <c r="S135" s="5">
        <v>31.6</v>
      </c>
      <c r="T135" s="5">
        <v>21.6</v>
      </c>
      <c r="U135" s="5">
        <v>-10</v>
      </c>
      <c r="V135" s="5">
        <v>109.6</v>
      </c>
      <c r="W135" s="5">
        <v>393.9</v>
      </c>
      <c r="X135" s="5">
        <v>319.10000000000002</v>
      </c>
      <c r="Y135" s="5">
        <v>-1</v>
      </c>
    </row>
    <row r="136" spans="1:25" x14ac:dyDescent="0.3">
      <c r="A136" s="2" cm="1">
        <f t="array" ref="A136">CountByColumnLogic(E136:Z136)</f>
        <v>12</v>
      </c>
      <c r="B136" s="5" t="s">
        <v>155</v>
      </c>
      <c r="C136" s="5" t="s">
        <v>278</v>
      </c>
      <c r="D136" s="8" t="s">
        <v>294</v>
      </c>
      <c r="E136" s="5">
        <v>1.6</v>
      </c>
      <c r="F136" s="5">
        <v>78</v>
      </c>
      <c r="G136" s="5">
        <v>52.4</v>
      </c>
      <c r="H136" s="5">
        <v>55</v>
      </c>
      <c r="I136" s="5">
        <v>65</v>
      </c>
      <c r="J136" s="6">
        <v>0.3861</v>
      </c>
      <c r="K136" s="6">
        <v>0.3392</v>
      </c>
      <c r="L136" s="5">
        <v>7.4</v>
      </c>
      <c r="M136" s="5">
        <v>248</v>
      </c>
      <c r="N136" s="5">
        <v>214.3</v>
      </c>
      <c r="O136" s="6">
        <v>0.92310000000000003</v>
      </c>
      <c r="P136" s="6">
        <v>0.88460000000000005</v>
      </c>
      <c r="Q136" s="5">
        <v>161.30000000000001</v>
      </c>
      <c r="R136" s="5">
        <v>169.2</v>
      </c>
      <c r="S136" s="5">
        <v>29.6</v>
      </c>
      <c r="T136" s="5">
        <v>34.5</v>
      </c>
      <c r="U136" s="5">
        <v>4.9000000000000004</v>
      </c>
      <c r="V136" s="5">
        <v>146.6</v>
      </c>
      <c r="W136" s="5">
        <v>375.6</v>
      </c>
      <c r="X136" s="5">
        <v>417.2</v>
      </c>
      <c r="Y136" s="5">
        <v>0.2</v>
      </c>
    </row>
    <row r="137" spans="1:25" x14ac:dyDescent="0.3">
      <c r="A137" s="2" cm="1">
        <f t="array" ref="A137">CountByColumnLogic(E137:Z137)</f>
        <v>17</v>
      </c>
      <c r="B137" s="5" t="s">
        <v>152</v>
      </c>
      <c r="C137" s="5" t="s">
        <v>274</v>
      </c>
      <c r="D137" s="8" t="s">
        <v>298</v>
      </c>
      <c r="E137" s="5">
        <v>-3</v>
      </c>
      <c r="F137" s="5">
        <v>73</v>
      </c>
      <c r="G137" s="5">
        <v>46.3</v>
      </c>
      <c r="H137" s="5">
        <v>60</v>
      </c>
      <c r="I137" s="5">
        <v>86</v>
      </c>
      <c r="J137" s="6">
        <v>0.2848</v>
      </c>
      <c r="K137" s="6">
        <v>0.42930000000000001</v>
      </c>
      <c r="L137" s="5">
        <v>7.8</v>
      </c>
      <c r="M137" s="5">
        <v>243.2</v>
      </c>
      <c r="N137" s="5">
        <v>269.60000000000002</v>
      </c>
      <c r="O137" s="6">
        <v>0.85109999999999997</v>
      </c>
      <c r="P137" s="6">
        <v>0.86050000000000004</v>
      </c>
      <c r="Q137" s="5">
        <v>187.6</v>
      </c>
      <c r="R137" s="5">
        <v>148.30000000000001</v>
      </c>
      <c r="S137" s="5">
        <v>30.5</v>
      </c>
      <c r="T137" s="5">
        <v>29.5</v>
      </c>
      <c r="U137" s="5">
        <v>-1</v>
      </c>
      <c r="V137" s="5">
        <v>142.9</v>
      </c>
      <c r="W137" s="5">
        <v>457.2</v>
      </c>
      <c r="X137" s="5">
        <v>391.5</v>
      </c>
      <c r="Y137" s="5">
        <v>0.7</v>
      </c>
    </row>
    <row r="138" spans="1:25" x14ac:dyDescent="0.3">
      <c r="A138" s="2" cm="1">
        <f t="array" ref="A138">CountByColumnLogic(E138:Z138)</f>
        <v>7</v>
      </c>
      <c r="B138" s="5" t="s">
        <v>153</v>
      </c>
      <c r="C138" s="5" t="s">
        <v>277</v>
      </c>
      <c r="D138" s="8" t="s">
        <v>308</v>
      </c>
      <c r="E138" s="5">
        <v>20.100000000000001</v>
      </c>
      <c r="F138" s="5">
        <v>60</v>
      </c>
      <c r="G138" s="5">
        <v>84.3</v>
      </c>
      <c r="H138" s="5">
        <v>7</v>
      </c>
      <c r="I138" s="5">
        <v>25</v>
      </c>
      <c r="J138" s="6">
        <v>0.51229999999999998</v>
      </c>
      <c r="K138" s="6">
        <v>0.35630000000000001</v>
      </c>
      <c r="L138" s="5">
        <v>5.8</v>
      </c>
      <c r="M138" s="5">
        <v>214.3</v>
      </c>
      <c r="N138" s="5">
        <v>179.5</v>
      </c>
      <c r="O138" s="6">
        <v>0.8</v>
      </c>
      <c r="P138" s="6">
        <v>0.90739999999999998</v>
      </c>
      <c r="Q138" s="5">
        <v>190.8</v>
      </c>
      <c r="R138" s="5">
        <v>265.8</v>
      </c>
      <c r="S138" s="5">
        <v>19.8</v>
      </c>
      <c r="T138" s="5">
        <v>39.5</v>
      </c>
      <c r="U138" s="5">
        <v>19.8</v>
      </c>
      <c r="V138" s="5">
        <v>144.4</v>
      </c>
      <c r="W138" s="5">
        <v>370.3</v>
      </c>
      <c r="X138" s="5">
        <v>480</v>
      </c>
      <c r="Y138" s="5">
        <v>0.3</v>
      </c>
    </row>
    <row r="139" spans="1:25" x14ac:dyDescent="0.3">
      <c r="A139" s="2" cm="1">
        <f t="array" ref="A139">CountByColumnLogic(E139:Z139)</f>
        <v>9</v>
      </c>
      <c r="B139" s="5" t="s">
        <v>156</v>
      </c>
      <c r="C139" s="5" t="s">
        <v>266</v>
      </c>
      <c r="D139" s="8" t="s">
        <v>300</v>
      </c>
      <c r="E139" s="5">
        <v>17</v>
      </c>
      <c r="F139" s="5">
        <v>28</v>
      </c>
      <c r="G139" s="5">
        <v>82.7</v>
      </c>
      <c r="H139" s="5">
        <v>1</v>
      </c>
      <c r="I139" s="5">
        <v>54</v>
      </c>
      <c r="J139" s="6">
        <v>0.5</v>
      </c>
      <c r="K139" s="6">
        <v>0.44640000000000002</v>
      </c>
      <c r="L139" s="5">
        <v>6.8</v>
      </c>
      <c r="M139" s="5">
        <v>288.2</v>
      </c>
      <c r="N139" s="5">
        <v>262.89999999999998</v>
      </c>
      <c r="O139" s="6">
        <v>0.81399999999999995</v>
      </c>
      <c r="P139" s="6">
        <v>0.87270000000000003</v>
      </c>
      <c r="Q139" s="5">
        <v>113.2</v>
      </c>
      <c r="R139" s="5">
        <v>173.8</v>
      </c>
      <c r="S139" s="5">
        <v>24.5</v>
      </c>
      <c r="T139" s="5">
        <v>37.9</v>
      </c>
      <c r="U139" s="5">
        <v>13.4</v>
      </c>
      <c r="V139" s="5">
        <v>167.1</v>
      </c>
      <c r="W139" s="5">
        <v>376.1</v>
      </c>
      <c r="X139" s="5">
        <v>462</v>
      </c>
      <c r="Y139" s="5">
        <v>0.1</v>
      </c>
    </row>
    <row r="140" spans="1:25" x14ac:dyDescent="0.3">
      <c r="A140" s="2" cm="1">
        <f t="array" ref="A140">CountByColumnLogic(E140:Z140)</f>
        <v>10</v>
      </c>
      <c r="B140" s="5" t="s">
        <v>157</v>
      </c>
      <c r="C140" s="5" t="s">
        <v>267</v>
      </c>
      <c r="D140" s="8" t="s">
        <v>312</v>
      </c>
      <c r="E140" s="5">
        <v>8.1999999999999993</v>
      </c>
      <c r="F140" s="5">
        <v>76</v>
      </c>
      <c r="G140" s="5">
        <v>67.400000000000006</v>
      </c>
      <c r="H140" s="5">
        <v>54</v>
      </c>
      <c r="I140" s="5">
        <v>21</v>
      </c>
      <c r="J140" s="6">
        <v>0.49309999999999998</v>
      </c>
      <c r="K140" s="6">
        <v>0.28889999999999999</v>
      </c>
      <c r="L140" s="5">
        <v>5.3</v>
      </c>
      <c r="M140" s="5">
        <v>232.8</v>
      </c>
      <c r="N140" s="5">
        <v>194.9</v>
      </c>
      <c r="O140" s="6">
        <v>0.83330000000000004</v>
      </c>
      <c r="P140" s="6">
        <v>0.83640000000000003</v>
      </c>
      <c r="Q140" s="5">
        <v>118.9</v>
      </c>
      <c r="R140" s="5">
        <v>163.5</v>
      </c>
      <c r="S140" s="5">
        <v>19.8</v>
      </c>
      <c r="T140" s="5">
        <v>28.9</v>
      </c>
      <c r="U140" s="5">
        <v>9.1</v>
      </c>
      <c r="V140" s="5">
        <v>127.9</v>
      </c>
      <c r="W140" s="5">
        <v>313.8</v>
      </c>
      <c r="X140" s="5">
        <v>396.3</v>
      </c>
      <c r="Y140" s="5">
        <v>0.6</v>
      </c>
    </row>
    <row r="141" spans="1:25" x14ac:dyDescent="0.3">
      <c r="A141" s="2" cm="1">
        <f t="array" ref="A141">CountByColumnLogic(E141:Z141)</f>
        <v>17</v>
      </c>
      <c r="B141" s="5" t="s">
        <v>158</v>
      </c>
      <c r="C141" s="5" t="s">
        <v>267</v>
      </c>
      <c r="D141" s="8" t="s">
        <v>299</v>
      </c>
      <c r="E141" s="5">
        <v>-1.2</v>
      </c>
      <c r="F141" s="5">
        <v>37</v>
      </c>
      <c r="G141" s="5">
        <v>38.799999999999997</v>
      </c>
      <c r="H141" s="5">
        <v>69</v>
      </c>
      <c r="I141" s="5">
        <v>102</v>
      </c>
      <c r="J141" s="6">
        <v>0.3831</v>
      </c>
      <c r="K141" s="6">
        <v>0.4632</v>
      </c>
      <c r="L141" s="5">
        <v>7.1</v>
      </c>
      <c r="M141" s="5">
        <v>153.5</v>
      </c>
      <c r="N141" s="5">
        <v>232.4</v>
      </c>
      <c r="O141" s="6">
        <v>0.92310000000000003</v>
      </c>
      <c r="P141" s="6">
        <v>0.89290000000000003</v>
      </c>
      <c r="Q141" s="5">
        <v>167.5</v>
      </c>
      <c r="R141" s="5">
        <v>185</v>
      </c>
      <c r="S141" s="5">
        <v>32.4</v>
      </c>
      <c r="T141" s="5">
        <v>19.899999999999999</v>
      </c>
      <c r="U141" s="5">
        <v>-12.5</v>
      </c>
      <c r="V141" s="5">
        <v>114.1</v>
      </c>
      <c r="W141" s="5">
        <v>399.9</v>
      </c>
      <c r="X141" s="5">
        <v>338.5</v>
      </c>
      <c r="Y141" s="5">
        <v>-0.8</v>
      </c>
    </row>
    <row r="142" spans="1:25" x14ac:dyDescent="0.3">
      <c r="A142" s="2" cm="1">
        <f t="array" ref="A142">CountByColumnLogic(E142:Z142)</f>
        <v>14</v>
      </c>
      <c r="B142" s="5" t="s">
        <v>159</v>
      </c>
      <c r="C142" s="5" t="s">
        <v>267</v>
      </c>
      <c r="D142" s="8" t="s">
        <v>292</v>
      </c>
      <c r="E142" s="5">
        <v>2.1</v>
      </c>
      <c r="F142" s="5">
        <v>77</v>
      </c>
      <c r="G142" s="5">
        <v>59.7</v>
      </c>
      <c r="H142" s="5">
        <v>98</v>
      </c>
      <c r="I142" s="5">
        <v>12</v>
      </c>
      <c r="J142" s="6">
        <v>0.4</v>
      </c>
      <c r="K142" s="6">
        <v>0.36699999999999999</v>
      </c>
      <c r="L142" s="5">
        <v>7.8</v>
      </c>
      <c r="M142" s="5">
        <v>235.1</v>
      </c>
      <c r="N142" s="5">
        <v>207.2</v>
      </c>
      <c r="O142" s="6">
        <v>0.82</v>
      </c>
      <c r="P142" s="6">
        <v>0.8</v>
      </c>
      <c r="Q142" s="5">
        <v>129.1</v>
      </c>
      <c r="R142" s="5">
        <v>146.4</v>
      </c>
      <c r="S142" s="5">
        <v>23.1</v>
      </c>
      <c r="T142" s="5">
        <v>26.9</v>
      </c>
      <c r="U142" s="5">
        <v>3.8</v>
      </c>
      <c r="V142" s="5">
        <v>127.8</v>
      </c>
      <c r="W142" s="5">
        <v>336.3</v>
      </c>
      <c r="X142" s="5">
        <v>381.5</v>
      </c>
      <c r="Y142" s="5">
        <v>-0.4</v>
      </c>
    </row>
    <row r="143" spans="1:25" x14ac:dyDescent="0.3">
      <c r="A143" s="2" cm="1">
        <f t="array" ref="A143">CountByColumnLogic(E143:Z143)</f>
        <v>9</v>
      </c>
      <c r="B143" s="5" t="s">
        <v>160</v>
      </c>
      <c r="C143" s="5" t="s">
        <v>268</v>
      </c>
      <c r="D143" s="8" t="s">
        <v>292</v>
      </c>
      <c r="E143" s="5">
        <v>14</v>
      </c>
      <c r="F143" s="5">
        <v>41</v>
      </c>
      <c r="G143" s="5">
        <v>77.2</v>
      </c>
      <c r="H143" s="5">
        <v>21</v>
      </c>
      <c r="I143" s="5">
        <v>19</v>
      </c>
      <c r="J143" s="6">
        <v>0.4718</v>
      </c>
      <c r="K143" s="6">
        <v>0.38550000000000001</v>
      </c>
      <c r="L143" s="5">
        <v>6.3</v>
      </c>
      <c r="M143" s="5">
        <v>239.5</v>
      </c>
      <c r="N143" s="5">
        <v>216.9</v>
      </c>
      <c r="O143" s="6">
        <v>0.76190000000000002</v>
      </c>
      <c r="P143" s="6">
        <v>0.91300000000000003</v>
      </c>
      <c r="Q143" s="5">
        <v>102.3</v>
      </c>
      <c r="R143" s="5">
        <v>153.30000000000001</v>
      </c>
      <c r="S143" s="5">
        <v>19.399999999999999</v>
      </c>
      <c r="T143" s="5">
        <v>31.1</v>
      </c>
      <c r="U143" s="5">
        <v>11.7</v>
      </c>
      <c r="V143" s="5">
        <v>160</v>
      </c>
      <c r="W143" s="5">
        <v>319.2</v>
      </c>
      <c r="X143" s="5">
        <v>392.8</v>
      </c>
      <c r="Y143" s="5">
        <v>0.3</v>
      </c>
    </row>
    <row r="144" spans="1:25" x14ac:dyDescent="0.3">
      <c r="A144" s="2" cm="1">
        <f t="array" ref="A144">CountByColumnLogic(E144:Z144)</f>
        <v>12</v>
      </c>
      <c r="B144" s="5" t="s">
        <v>161</v>
      </c>
      <c r="C144" s="5" t="s">
        <v>285</v>
      </c>
      <c r="D144" s="8" t="s">
        <v>294</v>
      </c>
      <c r="E144" s="5">
        <v>1.4</v>
      </c>
      <c r="F144" s="5">
        <v>56</v>
      </c>
      <c r="G144" s="5">
        <v>60.4</v>
      </c>
      <c r="H144" s="5">
        <v>80</v>
      </c>
      <c r="I144" s="5">
        <v>23</v>
      </c>
      <c r="J144" s="6">
        <v>0.39019999999999999</v>
      </c>
      <c r="K144" s="6">
        <v>0.34</v>
      </c>
      <c r="L144" s="5">
        <v>6.7</v>
      </c>
      <c r="M144" s="5">
        <v>210.6</v>
      </c>
      <c r="N144" s="5">
        <v>186.2</v>
      </c>
      <c r="O144" s="6">
        <v>0.7097</v>
      </c>
      <c r="P144" s="6">
        <v>0.85</v>
      </c>
      <c r="Q144" s="5">
        <v>120.1</v>
      </c>
      <c r="R144" s="5">
        <v>139.5</v>
      </c>
      <c r="S144" s="5">
        <v>21.1</v>
      </c>
      <c r="T144" s="5">
        <v>23.3</v>
      </c>
      <c r="U144" s="5">
        <v>2.2999999999999998</v>
      </c>
      <c r="V144" s="5">
        <v>127.6</v>
      </c>
      <c r="W144" s="5">
        <v>306.3</v>
      </c>
      <c r="X144" s="5">
        <v>350.1</v>
      </c>
      <c r="Y144" s="5">
        <v>-0.9</v>
      </c>
    </row>
    <row r="145" spans="1:25" x14ac:dyDescent="0.3">
      <c r="A145" s="2" cm="1">
        <f t="array" ref="A145">CountByColumnLogic(E145:Z145)</f>
        <v>19</v>
      </c>
      <c r="B145" s="5" t="s">
        <v>162</v>
      </c>
      <c r="C145" s="5" t="s">
        <v>277</v>
      </c>
      <c r="D145" s="8" t="s">
        <v>287</v>
      </c>
      <c r="E145" s="5">
        <v>-4.0999999999999996</v>
      </c>
      <c r="F145" s="5">
        <v>33</v>
      </c>
      <c r="G145" s="5">
        <v>41.2</v>
      </c>
      <c r="H145" s="5">
        <v>104</v>
      </c>
      <c r="I145" s="5">
        <v>58</v>
      </c>
      <c r="J145" s="6">
        <v>0.28570000000000001</v>
      </c>
      <c r="K145" s="6">
        <v>0.4012</v>
      </c>
      <c r="L145" s="5">
        <v>5.5</v>
      </c>
      <c r="M145" s="5">
        <v>185</v>
      </c>
      <c r="N145" s="5">
        <v>283.2</v>
      </c>
      <c r="O145" s="6">
        <v>0.84619999999999995</v>
      </c>
      <c r="P145" s="6">
        <v>0.79310000000000003</v>
      </c>
      <c r="Q145" s="5">
        <v>152.19999999999999</v>
      </c>
      <c r="R145" s="5">
        <v>139.5</v>
      </c>
      <c r="S145" s="5">
        <v>33.4</v>
      </c>
      <c r="T145" s="5">
        <v>19.600000000000001</v>
      </c>
      <c r="U145" s="5">
        <v>-13.7</v>
      </c>
      <c r="V145" s="5">
        <v>116</v>
      </c>
      <c r="W145" s="5">
        <v>435.4</v>
      </c>
      <c r="X145" s="5">
        <v>324.5</v>
      </c>
      <c r="Y145" s="5">
        <v>0.4</v>
      </c>
    </row>
    <row r="146" spans="1:25" x14ac:dyDescent="0.3">
      <c r="A146" s="2" cm="1">
        <f t="array" ref="A146">CountByColumnLogic(E146:Z146)</f>
        <v>13</v>
      </c>
      <c r="B146" s="5" t="s">
        <v>163</v>
      </c>
      <c r="C146" s="5" t="s">
        <v>280</v>
      </c>
      <c r="D146" s="8" t="s">
        <v>292</v>
      </c>
      <c r="E146" s="5">
        <v>-7.4</v>
      </c>
      <c r="F146" s="5">
        <v>121</v>
      </c>
      <c r="G146" s="5">
        <v>39.799999999999997</v>
      </c>
      <c r="H146" s="5">
        <v>95</v>
      </c>
      <c r="I146" s="5">
        <v>82</v>
      </c>
      <c r="J146" s="6">
        <v>0.46200000000000002</v>
      </c>
      <c r="K146" s="6">
        <v>0.35639999999999999</v>
      </c>
      <c r="L146" s="5">
        <v>5.8</v>
      </c>
      <c r="M146" s="5">
        <v>261.60000000000002</v>
      </c>
      <c r="N146" s="5">
        <v>234.5</v>
      </c>
      <c r="O146" s="6">
        <v>0.8125</v>
      </c>
      <c r="P146" s="6">
        <v>0.83720000000000006</v>
      </c>
      <c r="Q146" s="5">
        <v>178.8</v>
      </c>
      <c r="R146" s="5">
        <v>132.1</v>
      </c>
      <c r="S146" s="5">
        <v>24.3</v>
      </c>
      <c r="T146" s="5">
        <v>27.4</v>
      </c>
      <c r="U146" s="5">
        <v>3.2</v>
      </c>
      <c r="V146" s="5">
        <v>127.7</v>
      </c>
      <c r="W146" s="5">
        <v>413.3</v>
      </c>
      <c r="X146" s="5">
        <v>393.7</v>
      </c>
      <c r="Y146" s="5">
        <v>-0.7</v>
      </c>
    </row>
    <row r="147" spans="1:25" x14ac:dyDescent="0.3">
      <c r="A147" s="2" cm="1">
        <f t="array" ref="A147">CountByColumnLogic(E147:Z147)</f>
        <v>12</v>
      </c>
      <c r="B147" s="5" t="s">
        <v>164</v>
      </c>
      <c r="C147" s="5" t="s">
        <v>275</v>
      </c>
      <c r="D147" s="8" t="s">
        <v>304</v>
      </c>
      <c r="E147" s="5">
        <v>-2.7</v>
      </c>
      <c r="F147" s="5">
        <v>111</v>
      </c>
      <c r="G147" s="5">
        <v>54.3</v>
      </c>
      <c r="H147" s="5">
        <v>81</v>
      </c>
      <c r="I147" s="5">
        <v>38</v>
      </c>
      <c r="J147" s="6">
        <v>0.39429999999999998</v>
      </c>
      <c r="K147" s="6">
        <v>0.31790000000000002</v>
      </c>
      <c r="L147" s="5">
        <v>4.7</v>
      </c>
      <c r="M147" s="5">
        <v>137.19999999999999</v>
      </c>
      <c r="N147" s="5">
        <v>174.1</v>
      </c>
      <c r="O147" s="6">
        <v>0.76190000000000002</v>
      </c>
      <c r="P147" s="6">
        <v>0.69769999999999999</v>
      </c>
      <c r="Q147" s="5">
        <v>135.80000000000001</v>
      </c>
      <c r="R147" s="5">
        <v>203.5</v>
      </c>
      <c r="S147" s="5">
        <v>17.600000000000001</v>
      </c>
      <c r="T147" s="5">
        <v>23.2</v>
      </c>
      <c r="U147" s="5">
        <v>5.5</v>
      </c>
      <c r="V147" s="5">
        <v>120.1</v>
      </c>
      <c r="W147" s="5">
        <v>309.8</v>
      </c>
      <c r="X147" s="5">
        <v>340.6</v>
      </c>
      <c r="Y147" s="5">
        <v>0.5</v>
      </c>
    </row>
    <row r="148" spans="1:25" x14ac:dyDescent="0.3">
      <c r="A148" s="2" cm="1">
        <f t="array" ref="A148">CountByColumnLogic(E148:Z148)</f>
        <v>15</v>
      </c>
      <c r="B148" s="5" t="s">
        <v>165</v>
      </c>
      <c r="C148" s="5" t="s">
        <v>268</v>
      </c>
      <c r="D148" s="8" t="s">
        <v>287</v>
      </c>
      <c r="E148" s="5">
        <v>2.5</v>
      </c>
      <c r="F148" s="5">
        <v>1</v>
      </c>
      <c r="G148" s="5">
        <v>46.7</v>
      </c>
      <c r="H148" s="5">
        <v>121</v>
      </c>
      <c r="I148" s="5">
        <v>26</v>
      </c>
      <c r="J148" s="6">
        <v>0.3226</v>
      </c>
      <c r="K148" s="6">
        <v>0.38</v>
      </c>
      <c r="L148" s="5">
        <v>3.6</v>
      </c>
      <c r="M148" s="5">
        <v>136.4</v>
      </c>
      <c r="N148" s="5">
        <v>218.3</v>
      </c>
      <c r="O148" s="6">
        <v>0.84619999999999995</v>
      </c>
      <c r="P148" s="6">
        <v>0.77270000000000005</v>
      </c>
      <c r="Q148" s="5">
        <v>105.3</v>
      </c>
      <c r="R148" s="5">
        <v>116.7</v>
      </c>
      <c r="S148" s="5">
        <v>21.6</v>
      </c>
      <c r="T148" s="5">
        <v>12.8</v>
      </c>
      <c r="U148" s="5">
        <v>-8.8000000000000007</v>
      </c>
      <c r="V148" s="5">
        <v>109.6</v>
      </c>
      <c r="W148" s="5">
        <v>323.60000000000002</v>
      </c>
      <c r="X148" s="5">
        <v>253.1</v>
      </c>
      <c r="Y148" s="5">
        <v>-0.9</v>
      </c>
    </row>
    <row r="149" spans="1:25" x14ac:dyDescent="0.3">
      <c r="A149" s="2" cm="1">
        <f t="array" ref="A149">CountByColumnLogic(E149:Z149)</f>
        <v>16</v>
      </c>
      <c r="B149" s="5" t="s">
        <v>166</v>
      </c>
      <c r="C149" s="5" t="s">
        <v>274</v>
      </c>
      <c r="D149" s="8" t="s">
        <v>287</v>
      </c>
      <c r="E149" s="5">
        <v>-11.5</v>
      </c>
      <c r="F149" s="5">
        <v>103</v>
      </c>
      <c r="G149" s="5">
        <v>28.6</v>
      </c>
      <c r="H149" s="5">
        <v>127</v>
      </c>
      <c r="I149" s="5">
        <v>63</v>
      </c>
      <c r="J149" s="6">
        <v>0.33329999999999999</v>
      </c>
      <c r="K149" s="6">
        <v>0.35060000000000002</v>
      </c>
      <c r="L149" s="5">
        <v>6</v>
      </c>
      <c r="M149" s="5">
        <v>182.4</v>
      </c>
      <c r="N149" s="5">
        <v>181.4</v>
      </c>
      <c r="O149" s="6">
        <v>0.7</v>
      </c>
      <c r="P149" s="6">
        <v>0.61899999999999999</v>
      </c>
      <c r="Q149" s="5">
        <v>179.1</v>
      </c>
      <c r="R149" s="5">
        <v>126.5</v>
      </c>
      <c r="S149" s="5">
        <v>21.7</v>
      </c>
      <c r="T149" s="5">
        <v>14.6</v>
      </c>
      <c r="U149" s="5">
        <v>-7.1</v>
      </c>
      <c r="V149" s="5">
        <v>104.7</v>
      </c>
      <c r="W149" s="5">
        <v>360.5</v>
      </c>
      <c r="X149" s="5">
        <v>308.8</v>
      </c>
      <c r="Y149" s="5">
        <v>-0.4</v>
      </c>
    </row>
    <row r="150" spans="1:25" x14ac:dyDescent="0.3"/>
    <row r="151" spans="1:25" x14ac:dyDescent="0.3"/>
    <row r="152" spans="1:25" x14ac:dyDescent="0.3"/>
  </sheetData>
  <autoFilter ref="A12:Z12" xr:uid="{D6FB44F2-B665-45CB-8668-32AA138BC639}">
    <sortState xmlns:xlrd2="http://schemas.microsoft.com/office/spreadsheetml/2017/richdata2" ref="A13:Z149">
      <sortCondition ref="A12"/>
    </sortState>
  </autoFilter>
  <conditionalFormatting sqref="E13:E997">
    <cfRule type="cellIs" dxfId="24" priority="48" stopIfTrue="1" operator="greaterThanOrEqual">
      <formula>INDIRECT(ADDRESS(12, COLUMN()))</formula>
    </cfRule>
  </conditionalFormatting>
  <conditionalFormatting sqref="G13:G997 J13:J997 M13:M997 P13:P997 R13:R997 T13:V997 X13:Y997">
    <cfRule type="cellIs" dxfId="23" priority="46" stopIfTrue="1" operator="lessThan">
      <formula>INDIRECT(ADDRESS(12, COLUMN()))</formula>
    </cfRule>
    <cfRule type="cellIs" dxfId="22" priority="47" stopIfTrue="1" operator="greaterThanOrEqual">
      <formula>INDIRECT(ADDRESS(12, COLUMN()))</formula>
    </cfRule>
  </conditionalFormatting>
  <conditionalFormatting sqref="E13:Z997">
    <cfRule type="containsBlanks" dxfId="21" priority="49" stopIfTrue="1">
      <formula>LEN(TRIM(E13))=0</formula>
    </cfRule>
    <cfRule type="cellIs" dxfId="20" priority="49" stopIfTrue="1" operator="lessThan">
      <formula>INDIRECT(ADDRESS(12, COLUMN()))</formula>
    </cfRule>
  </conditionalFormatting>
  <conditionalFormatting sqref="W13:W997 S13:S997 Q13:Q997 N13:O997 K13:L997 H13:I997 F13:F997 Z13:Z997">
    <cfRule type="cellIs" dxfId="19" priority="23" stopIfTrue="1" operator="greaterThan">
      <formula>INDIRECT(ADDRESS(12, COLUMN()))</formula>
    </cfRule>
    <cfRule type="cellIs" dxfId="18" priority="24" stopIfTrue="1" operator="lessThanOrEqual">
      <formula>INDIRECT(ADDRESS(12, COLUMN()))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7620</xdr:colOff>
                    <xdr:row>0</xdr:row>
                    <xdr:rowOff>7620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25" stopIfTrue="1" operator="endsWith" id="{9ED631C2-9881-4C12-B309-DC8F0C7D2568}">
            <xm:f>RIGHT(Z13,LEN("-"))="-"</xm:f>
            <xm:f>"-"</xm:f>
            <x14:dxf>
              <font>
                <color auto="1"/>
              </font>
              <fill>
                <patternFill>
                  <fgColor theme="6" tint="0.79995117038483843"/>
                  <bgColor theme="5" tint="0.79998168889431442"/>
                </patternFill>
              </fill>
            </x14:dxf>
          </x14:cfRule>
          <xm:sqref>Z13:Z997</xm:sqref>
        </x14:conditionalFormatting>
        <x14:conditionalFormatting xmlns:xm="http://schemas.microsoft.com/office/excel/2006/main">
          <x14:cfRule type="endsWith" priority="1" stopIfTrue="1" operator="endsWith" id="{1EF61906-B197-4580-B3AB-21C5DAA66D1A}">
            <xm:f>RIGHT(E13,LEN("-"))="-"</xm:f>
            <xm:f>"-"</xm:f>
            <x14:dxf>
              <font>
                <color auto="1"/>
              </font>
              <fill>
                <patternFill patternType="none">
                  <fgColor auto="1"/>
                  <bgColor auto="1"/>
                </patternFill>
              </fill>
            </x14:dxf>
          </x14:cfRule>
          <xm:sqref>E13:Y997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96779-AAEF-4D70-8A8D-8795A35B6C1D}">
  <sheetPr codeName="Sheet2"/>
  <dimension ref="A1:X146"/>
  <sheetViews>
    <sheetView workbookViewId="0">
      <selection activeCell="A15" sqref="A15"/>
    </sheetView>
  </sheetViews>
  <sheetFormatPr defaultRowHeight="14.4" zeroHeight="1" x14ac:dyDescent="0.3"/>
  <cols>
    <col min="1" max="1" width="14.6640625" style="2" bestFit="1" customWidth="1"/>
    <col min="2" max="2" width="26.109375" bestFit="1" customWidth="1"/>
    <col min="3" max="3" width="9.44140625" style="2" bestFit="1" customWidth="1"/>
    <col min="4" max="4" width="7.44140625" style="2" bestFit="1" customWidth="1"/>
    <col min="5" max="5" width="9.44140625" style="2" bestFit="1" customWidth="1"/>
    <col min="6" max="7" width="7.44140625" style="2" bestFit="1" customWidth="1"/>
    <col min="8" max="8" width="10.44140625" style="2" bestFit="1" customWidth="1"/>
    <col min="9" max="9" width="13.109375" style="2" bestFit="1" customWidth="1"/>
    <col min="10" max="10" width="10.33203125" style="2" bestFit="1" customWidth="1"/>
    <col min="11" max="11" width="10.44140625" style="2" bestFit="1" customWidth="1"/>
    <col min="12" max="12" width="12.33203125" style="2" bestFit="1" customWidth="1"/>
    <col min="13" max="14" width="10.44140625" style="2" bestFit="1" customWidth="1"/>
    <col min="15" max="15" width="12.44140625" style="2" bestFit="1" customWidth="1"/>
    <col min="16" max="16" width="10.44140625" style="2" bestFit="1" customWidth="1"/>
    <col min="17" max="18" width="9.44140625" style="2" bestFit="1" customWidth="1"/>
    <col min="19" max="19" width="8.33203125" style="2" bestFit="1" customWidth="1"/>
    <col min="20" max="20" width="11.44140625" style="2" bestFit="1" customWidth="1"/>
    <col min="21" max="22" width="10.44140625" style="2" bestFit="1" customWidth="1"/>
    <col min="23" max="23" width="10.109375" style="2" bestFit="1" customWidth="1"/>
    <col min="24" max="24" width="6.44140625" style="2" bestFit="1" customWidth="1"/>
  </cols>
  <sheetData>
    <row r="1" spans="1:24" s="3" customFormat="1" x14ac:dyDescent="0.3">
      <c r="B1" s="4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167</v>
      </c>
    </row>
    <row r="2" spans="1:24" x14ac:dyDescent="0.3">
      <c r="B2" t="s">
        <v>169</v>
      </c>
      <c r="C2" s="2">
        <v>25.7</v>
      </c>
      <c r="D2" s="2">
        <v>35</v>
      </c>
      <c r="E2" s="2">
        <v>87.5</v>
      </c>
      <c r="F2" s="2">
        <v>5</v>
      </c>
      <c r="G2" s="2">
        <v>16</v>
      </c>
      <c r="H2" s="2">
        <v>0.52</v>
      </c>
      <c r="I2" s="2">
        <v>0.34399999999999997</v>
      </c>
      <c r="J2" s="2">
        <v>5.6</v>
      </c>
      <c r="K2" s="2">
        <v>247.1</v>
      </c>
      <c r="L2" s="2">
        <v>201.1</v>
      </c>
      <c r="M2" s="2">
        <v>0.84399999999999997</v>
      </c>
      <c r="N2" s="2">
        <v>0.85099999999999998</v>
      </c>
      <c r="O2" s="2">
        <v>141.30000000000001</v>
      </c>
      <c r="P2" s="2">
        <v>264.5</v>
      </c>
      <c r="Q2" s="2">
        <v>22</v>
      </c>
      <c r="R2" s="2">
        <v>44.8</v>
      </c>
      <c r="S2" s="2">
        <v>22.8</v>
      </c>
      <c r="T2" s="2">
        <v>167.72</v>
      </c>
      <c r="U2" s="2">
        <v>342.4</v>
      </c>
      <c r="V2" s="2">
        <v>511.6</v>
      </c>
      <c r="W2" s="2">
        <v>0.47</v>
      </c>
      <c r="X2" s="2">
        <v>5</v>
      </c>
    </row>
    <row r="3" spans="1:24" x14ac:dyDescent="0.3">
      <c r="B3" t="s">
        <v>22</v>
      </c>
      <c r="C3" s="2">
        <v>27.4</v>
      </c>
      <c r="D3" s="2">
        <v>1</v>
      </c>
      <c r="E3" s="2">
        <v>90</v>
      </c>
      <c r="F3" s="2">
        <v>16</v>
      </c>
      <c r="G3" s="2">
        <v>1</v>
      </c>
      <c r="H3" s="2">
        <v>0.374</v>
      </c>
      <c r="I3" s="2">
        <v>0.28599999999999998</v>
      </c>
      <c r="J3" s="2">
        <v>5.93</v>
      </c>
      <c r="K3" s="2">
        <v>227.1</v>
      </c>
      <c r="L3" s="2">
        <v>200.6</v>
      </c>
      <c r="M3" s="2">
        <v>0.83299999999999996</v>
      </c>
      <c r="N3" s="2">
        <v>0.82299999999999995</v>
      </c>
      <c r="O3" s="2">
        <v>75.7</v>
      </c>
      <c r="P3" s="2">
        <v>199.9</v>
      </c>
      <c r="Q3" s="2">
        <v>15.1</v>
      </c>
      <c r="R3" s="2">
        <v>35.1</v>
      </c>
      <c r="S3" s="2">
        <v>20</v>
      </c>
      <c r="T3" s="2">
        <v>143.44999999999999</v>
      </c>
      <c r="U3" s="2">
        <v>276.3</v>
      </c>
      <c r="V3" s="2">
        <v>427.1</v>
      </c>
      <c r="W3" s="2">
        <v>0.67</v>
      </c>
      <c r="X3" s="2">
        <v>3</v>
      </c>
    </row>
    <row r="4" spans="1:24" x14ac:dyDescent="0.3">
      <c r="B4" t="s">
        <v>23</v>
      </c>
      <c r="C4" s="2">
        <v>27.6</v>
      </c>
      <c r="D4" s="2">
        <v>9</v>
      </c>
      <c r="E4" s="2">
        <v>87.1</v>
      </c>
      <c r="F4" s="2">
        <v>3</v>
      </c>
      <c r="G4" s="2">
        <v>8</v>
      </c>
      <c r="H4" s="2">
        <v>0.502</v>
      </c>
      <c r="I4" s="2">
        <v>0.28100000000000003</v>
      </c>
      <c r="J4" s="2">
        <v>6.33</v>
      </c>
      <c r="K4" s="2">
        <v>333.9</v>
      </c>
      <c r="L4" s="2">
        <v>181.9</v>
      </c>
      <c r="M4" s="2">
        <v>0.78900000000000003</v>
      </c>
      <c r="N4" s="2">
        <v>0.84199999999999997</v>
      </c>
      <c r="O4" s="2">
        <v>129.6</v>
      </c>
      <c r="P4" s="2">
        <v>169.7</v>
      </c>
      <c r="Q4" s="2">
        <v>18</v>
      </c>
      <c r="R4" s="2">
        <v>39.200000000000003</v>
      </c>
      <c r="S4" s="2">
        <v>21.2</v>
      </c>
      <c r="T4" s="2">
        <v>152.19</v>
      </c>
      <c r="U4" s="2">
        <v>311.5</v>
      </c>
      <c r="V4" s="2">
        <v>503.7</v>
      </c>
      <c r="W4" s="2">
        <v>-7.0000000000000007E-2</v>
      </c>
      <c r="X4" s="2">
        <v>2</v>
      </c>
    </row>
    <row r="5" spans="1:24" x14ac:dyDescent="0.3">
      <c r="B5" t="s">
        <v>24</v>
      </c>
      <c r="C5" s="2">
        <v>28.4</v>
      </c>
      <c r="D5" s="2">
        <v>29</v>
      </c>
      <c r="E5" s="2">
        <v>92.8</v>
      </c>
      <c r="F5" s="2">
        <v>4</v>
      </c>
      <c r="G5" s="2">
        <v>2</v>
      </c>
      <c r="H5" s="2">
        <v>0.40400000000000003</v>
      </c>
      <c r="I5" s="2">
        <v>0.34599999999999997</v>
      </c>
      <c r="J5" s="2">
        <v>5</v>
      </c>
      <c r="K5" s="2">
        <v>193.4</v>
      </c>
      <c r="L5" s="2">
        <v>165.7</v>
      </c>
      <c r="M5" s="2">
        <v>0.75</v>
      </c>
      <c r="N5" s="2">
        <v>0.85299999999999998</v>
      </c>
      <c r="O5" s="2">
        <v>94.7</v>
      </c>
      <c r="P5" s="2">
        <v>250.6</v>
      </c>
      <c r="Q5" s="2">
        <v>11.9</v>
      </c>
      <c r="R5" s="2">
        <v>37.1</v>
      </c>
      <c r="S5" s="2">
        <v>25.2</v>
      </c>
      <c r="T5" s="2">
        <v>155.99</v>
      </c>
      <c r="U5" s="2">
        <v>260.39999999999998</v>
      </c>
      <c r="V5" s="2">
        <v>444.1</v>
      </c>
      <c r="W5" s="2">
        <v>1</v>
      </c>
      <c r="X5" s="2">
        <v>1</v>
      </c>
    </row>
    <row r="6" spans="1:24" x14ac:dyDescent="0.3">
      <c r="B6" t="s">
        <v>25</v>
      </c>
      <c r="C6" s="2">
        <v>32.700000000000003</v>
      </c>
      <c r="D6" s="2">
        <v>22</v>
      </c>
      <c r="E6" s="2">
        <v>90.8</v>
      </c>
      <c r="F6" s="2">
        <v>4</v>
      </c>
      <c r="G6" s="2">
        <v>1</v>
      </c>
      <c r="H6" s="2">
        <v>0.46</v>
      </c>
      <c r="I6" s="2">
        <v>0.28499999999999998</v>
      </c>
      <c r="J6" s="2">
        <v>4.87</v>
      </c>
      <c r="K6" s="2">
        <v>279</v>
      </c>
      <c r="L6" s="2">
        <v>189.6</v>
      </c>
      <c r="M6" s="2">
        <v>0.72199999999999998</v>
      </c>
      <c r="N6" s="2">
        <v>0.88</v>
      </c>
      <c r="O6" s="2">
        <v>96.3</v>
      </c>
      <c r="P6" s="2">
        <v>248.2</v>
      </c>
      <c r="Q6" s="2">
        <v>13.1</v>
      </c>
      <c r="R6" s="2">
        <v>44.3</v>
      </c>
      <c r="S6" s="2">
        <v>31.2</v>
      </c>
      <c r="T6" s="2">
        <v>154.65</v>
      </c>
      <c r="U6" s="2">
        <v>285.89999999999998</v>
      </c>
      <c r="V6" s="2">
        <v>527.20000000000005</v>
      </c>
      <c r="W6" s="2">
        <v>0.47</v>
      </c>
      <c r="X6" s="2">
        <v>2</v>
      </c>
    </row>
    <row r="7" spans="1:24" x14ac:dyDescent="0.3">
      <c r="B7" t="s">
        <v>26</v>
      </c>
      <c r="C7" s="2">
        <v>30.3</v>
      </c>
      <c r="D7" s="2">
        <v>3</v>
      </c>
      <c r="E7" s="2">
        <v>95.2</v>
      </c>
      <c r="F7" s="2">
        <v>1</v>
      </c>
      <c r="G7" s="2">
        <v>11</v>
      </c>
      <c r="H7" s="2">
        <v>0.497</v>
      </c>
      <c r="I7" s="2">
        <v>0.29599999999999999</v>
      </c>
      <c r="J7" s="2">
        <v>6.2</v>
      </c>
      <c r="K7" s="2">
        <v>401.6</v>
      </c>
      <c r="L7" s="2">
        <v>222.7</v>
      </c>
      <c r="M7" s="2">
        <v>0.77500000000000002</v>
      </c>
      <c r="N7" s="2">
        <v>0.96</v>
      </c>
      <c r="O7" s="2">
        <v>120.8</v>
      </c>
      <c r="P7" s="2">
        <v>166.8</v>
      </c>
      <c r="Q7" s="2">
        <v>21.9</v>
      </c>
      <c r="R7" s="2">
        <v>48.4</v>
      </c>
      <c r="S7" s="2">
        <v>26.5</v>
      </c>
      <c r="T7" s="2">
        <v>197.41</v>
      </c>
      <c r="U7" s="2">
        <v>343.5</v>
      </c>
      <c r="V7" s="2">
        <v>568.4</v>
      </c>
      <c r="W7" s="2">
        <v>0.67</v>
      </c>
      <c r="X7" s="2">
        <v>6</v>
      </c>
    </row>
    <row r="8" spans="1:24" x14ac:dyDescent="0.3">
      <c r="B8" t="s">
        <v>27</v>
      </c>
      <c r="C8" s="2">
        <v>35.9</v>
      </c>
      <c r="D8" s="2">
        <v>6</v>
      </c>
      <c r="E8" s="2">
        <v>96.4</v>
      </c>
      <c r="F8" s="2">
        <v>1</v>
      </c>
      <c r="G8" s="2">
        <v>7</v>
      </c>
      <c r="H8" s="2">
        <v>0.58899999999999997</v>
      </c>
      <c r="I8" s="2">
        <v>0.371</v>
      </c>
      <c r="J8" s="2">
        <v>6</v>
      </c>
      <c r="K8" s="2">
        <v>358.2</v>
      </c>
      <c r="L8" s="2">
        <v>239.2</v>
      </c>
      <c r="M8" s="2">
        <v>0.74399999999999999</v>
      </c>
      <c r="N8" s="2">
        <v>0.92600000000000005</v>
      </c>
      <c r="O8" s="2">
        <v>113.1</v>
      </c>
      <c r="P8" s="2">
        <v>183.5</v>
      </c>
      <c r="Q8" s="2">
        <v>19.399999999999999</v>
      </c>
      <c r="R8" s="2">
        <v>48.5</v>
      </c>
      <c r="S8" s="2">
        <v>29.1</v>
      </c>
      <c r="T8" s="2">
        <v>198.99</v>
      </c>
      <c r="U8" s="2">
        <v>352.2</v>
      </c>
      <c r="V8" s="2">
        <v>541.6</v>
      </c>
      <c r="W8" s="2">
        <v>0.77</v>
      </c>
      <c r="X8" s="2">
        <v>3</v>
      </c>
    </row>
    <row r="9" spans="1:24" x14ac:dyDescent="0.3">
      <c r="B9" t="s">
        <v>28</v>
      </c>
      <c r="C9" s="2">
        <v>30</v>
      </c>
      <c r="D9" s="2">
        <v>3</v>
      </c>
      <c r="E9" s="2">
        <v>95.7</v>
      </c>
      <c r="F9" s="2">
        <v>2</v>
      </c>
      <c r="G9" s="2">
        <v>1</v>
      </c>
      <c r="H9" s="2">
        <v>0.44800000000000001</v>
      </c>
      <c r="I9" s="2">
        <v>0.35599999999999998</v>
      </c>
      <c r="J9" s="2">
        <v>5.13</v>
      </c>
      <c r="K9" s="2">
        <v>251.9</v>
      </c>
      <c r="L9" s="2">
        <v>190.1</v>
      </c>
      <c r="M9" s="2">
        <v>0.625</v>
      </c>
      <c r="N9" s="2">
        <v>0.84299999999999997</v>
      </c>
      <c r="O9" s="2">
        <v>78.900000000000006</v>
      </c>
      <c r="P9" s="2">
        <v>190.9</v>
      </c>
      <c r="Q9" s="2">
        <v>10.199999999999999</v>
      </c>
      <c r="R9" s="2">
        <v>38.4</v>
      </c>
      <c r="S9" s="2">
        <v>28.2</v>
      </c>
      <c r="T9" s="2">
        <v>168.56</v>
      </c>
      <c r="U9" s="2">
        <v>268.89999999999998</v>
      </c>
      <c r="V9" s="2">
        <v>442.8</v>
      </c>
      <c r="W9" s="2">
        <v>0.2</v>
      </c>
      <c r="X9" s="2">
        <v>5</v>
      </c>
    </row>
    <row r="10" spans="1:24" x14ac:dyDescent="0.3">
      <c r="B10" t="s">
        <v>29</v>
      </c>
      <c r="C10" s="2">
        <v>29.9</v>
      </c>
      <c r="D10" s="2">
        <v>8</v>
      </c>
      <c r="E10" s="2">
        <v>93.5</v>
      </c>
      <c r="F10" s="2">
        <v>2</v>
      </c>
      <c r="G10" s="2">
        <v>2</v>
      </c>
      <c r="H10" s="2">
        <v>0.51100000000000001</v>
      </c>
      <c r="I10" s="2">
        <v>0.26600000000000001</v>
      </c>
      <c r="J10" s="2">
        <v>4.4000000000000004</v>
      </c>
      <c r="K10" s="2">
        <v>295.89999999999998</v>
      </c>
      <c r="L10" s="2">
        <v>219.7</v>
      </c>
      <c r="M10" s="2">
        <v>0.67600000000000005</v>
      </c>
      <c r="N10" s="2">
        <v>0.97599999999999998</v>
      </c>
      <c r="O10" s="2">
        <v>77.099999999999994</v>
      </c>
      <c r="P10" s="2">
        <v>205.3</v>
      </c>
      <c r="Q10" s="2">
        <v>14.3</v>
      </c>
      <c r="R10" s="2">
        <v>41.1</v>
      </c>
      <c r="S10" s="2">
        <v>26.8</v>
      </c>
      <c r="T10" s="2">
        <v>162.01</v>
      </c>
      <c r="U10" s="2">
        <v>296.8</v>
      </c>
      <c r="V10" s="2">
        <v>501.2</v>
      </c>
      <c r="W10" s="2">
        <v>7.0000000000000007E-2</v>
      </c>
      <c r="X10" s="2">
        <v>3</v>
      </c>
    </row>
    <row r="11" spans="1:24" x14ac:dyDescent="0.3">
      <c r="B11" t="s">
        <v>30</v>
      </c>
      <c r="C11" s="2">
        <v>28.4</v>
      </c>
      <c r="D11" s="2">
        <v>7</v>
      </c>
      <c r="E11" s="2">
        <v>94.2</v>
      </c>
      <c r="F11" s="2">
        <v>4</v>
      </c>
      <c r="G11" s="2">
        <v>1</v>
      </c>
      <c r="H11" s="2">
        <v>0.42799999999999999</v>
      </c>
      <c r="I11" s="2">
        <v>0.29099999999999998</v>
      </c>
      <c r="J11" s="2">
        <v>3</v>
      </c>
      <c r="K11" s="2">
        <v>213.7</v>
      </c>
      <c r="L11" s="2">
        <v>157</v>
      </c>
      <c r="M11" s="2">
        <v>0.72</v>
      </c>
      <c r="N11" s="2">
        <v>0.89400000000000002</v>
      </c>
      <c r="O11" s="2">
        <v>90</v>
      </c>
      <c r="P11" s="2">
        <v>169.1</v>
      </c>
      <c r="Q11" s="2">
        <v>10.4</v>
      </c>
      <c r="R11" s="2">
        <v>35.9</v>
      </c>
      <c r="S11" s="2">
        <v>25.5</v>
      </c>
      <c r="T11" s="2">
        <v>165.77</v>
      </c>
      <c r="U11" s="2">
        <v>247</v>
      </c>
      <c r="V11" s="2">
        <v>382.7</v>
      </c>
      <c r="W11" s="2">
        <v>1.27</v>
      </c>
      <c r="X11" s="2">
        <v>2</v>
      </c>
    </row>
    <row r="12" spans="1:24" s="1" customFormat="1" x14ac:dyDescent="0.3">
      <c r="A12" s="3" t="s">
        <v>32</v>
      </c>
      <c r="B12" s="1" t="s">
        <v>0</v>
      </c>
      <c r="C12" s="3">
        <f>MIN(C2:C11)</f>
        <v>25.7</v>
      </c>
      <c r="D12" s="3">
        <f>MAX(D2:D11)</f>
        <v>35</v>
      </c>
      <c r="E12" s="3">
        <f>MIN(E2:E11)</f>
        <v>87.1</v>
      </c>
      <c r="F12" s="3">
        <f>MAX(F2:F11)</f>
        <v>16</v>
      </c>
      <c r="G12" s="3">
        <f>MAX(G2:G11)</f>
        <v>16</v>
      </c>
      <c r="H12" s="3">
        <f>MIN(H2:H11)</f>
        <v>0.374</v>
      </c>
      <c r="I12" s="3">
        <f>MAX(I2:I11)</f>
        <v>0.371</v>
      </c>
      <c r="J12" s="3">
        <f>MAX(J2:J11)</f>
        <v>6.33</v>
      </c>
      <c r="K12" s="3">
        <f>MIN(K2:K11)</f>
        <v>193.4</v>
      </c>
      <c r="L12" s="3">
        <f>MAX(L2:L11)</f>
        <v>239.2</v>
      </c>
      <c r="M12" s="3">
        <f>MAX(M2:M11)</f>
        <v>0.84399999999999997</v>
      </c>
      <c r="N12" s="3">
        <f>MIN(N2:N11)</f>
        <v>0.82299999999999995</v>
      </c>
      <c r="O12" s="3">
        <f>MAX(O2:O11)</f>
        <v>141.30000000000001</v>
      </c>
      <c r="P12" s="3">
        <f>MIN(P2:P11)</f>
        <v>166.8</v>
      </c>
      <c r="Q12" s="3">
        <f>MAX(Q2:Q11)</f>
        <v>22</v>
      </c>
      <c r="R12" s="3">
        <f>MIN(R2:R11)</f>
        <v>35.1</v>
      </c>
      <c r="S12" s="3">
        <f>MIN(S2:S11)</f>
        <v>20</v>
      </c>
      <c r="T12" s="3">
        <f>MIN(T2:T11)</f>
        <v>143.44999999999999</v>
      </c>
      <c r="U12" s="3">
        <f>MAX(U2:U11)</f>
        <v>352.2</v>
      </c>
      <c r="V12" s="3">
        <f>MIN(V2:V11)</f>
        <v>382.7</v>
      </c>
      <c r="W12" s="3">
        <f>MIN(W2:W11)</f>
        <v>-7.0000000000000007E-2</v>
      </c>
      <c r="X12" s="3">
        <f>MAX(X2:X11)</f>
        <v>6</v>
      </c>
    </row>
    <row r="13" spans="1:24" x14ac:dyDescent="0.3">
      <c r="A13" s="2" cm="1">
        <f t="array" ref="A13">CountByColumnLogic(C13:X13)</f>
        <v>15</v>
      </c>
      <c r="B13" t="s">
        <v>33</v>
      </c>
      <c r="C13" s="2">
        <v>-9.5</v>
      </c>
      <c r="D13" s="2">
        <v>117</v>
      </c>
      <c r="E13" s="2">
        <v>29</v>
      </c>
      <c r="F13" s="2">
        <v>110</v>
      </c>
      <c r="G13" s="2">
        <v>94</v>
      </c>
      <c r="H13" s="2">
        <v>0.42899999999999999</v>
      </c>
      <c r="I13" s="2">
        <v>0.371</v>
      </c>
      <c r="J13" s="2">
        <v>3.17</v>
      </c>
      <c r="K13" s="2">
        <v>89.8</v>
      </c>
      <c r="L13" s="2">
        <v>188.5</v>
      </c>
      <c r="M13" s="2">
        <v>0.88900000000000001</v>
      </c>
      <c r="N13" s="2">
        <v>0.88900000000000001</v>
      </c>
      <c r="O13" s="2">
        <v>153.4</v>
      </c>
      <c r="P13" s="2">
        <v>224</v>
      </c>
      <c r="Q13" s="2">
        <v>23.3</v>
      </c>
      <c r="R13" s="2">
        <v>18.899999999999999</v>
      </c>
      <c r="S13" s="2">
        <v>-4.4000000000000004</v>
      </c>
      <c r="T13" s="2">
        <v>107.95</v>
      </c>
      <c r="U13" s="2">
        <v>341.9</v>
      </c>
      <c r="V13" s="2">
        <v>313.8</v>
      </c>
      <c r="W13" s="2">
        <v>-0.25</v>
      </c>
      <c r="X13" s="2" t="s">
        <v>168</v>
      </c>
    </row>
    <row r="14" spans="1:24" x14ac:dyDescent="0.3">
      <c r="A14" s="2" cm="1">
        <f t="array" ref="A14">CountByColumnLogic(C14:X14)</f>
        <v>19</v>
      </c>
      <c r="B14" t="s">
        <v>34</v>
      </c>
      <c r="C14" s="2">
        <v>-15.4</v>
      </c>
      <c r="D14" s="2">
        <v>55</v>
      </c>
      <c r="E14" s="2">
        <v>25.7</v>
      </c>
      <c r="F14" s="2">
        <v>113</v>
      </c>
      <c r="G14" s="2">
        <v>117</v>
      </c>
      <c r="H14" s="2">
        <v>0.36199999999999999</v>
      </c>
      <c r="I14" s="2">
        <v>0.38700000000000001</v>
      </c>
      <c r="J14" s="2">
        <v>6.33</v>
      </c>
      <c r="K14" s="2">
        <v>232.4</v>
      </c>
      <c r="L14" s="2">
        <v>231.1</v>
      </c>
      <c r="M14" s="2">
        <v>0.88100000000000001</v>
      </c>
      <c r="N14" s="2">
        <v>0.78600000000000003</v>
      </c>
      <c r="O14" s="2">
        <v>183.3</v>
      </c>
      <c r="P14" s="2">
        <v>100.3</v>
      </c>
      <c r="Q14" s="2">
        <v>32</v>
      </c>
      <c r="R14" s="2">
        <v>20.399999999999999</v>
      </c>
      <c r="S14" s="2">
        <v>-11.6</v>
      </c>
      <c r="T14" s="2">
        <v>119.59</v>
      </c>
      <c r="U14" s="2">
        <v>414.4</v>
      </c>
      <c r="V14" s="2">
        <v>332.8</v>
      </c>
      <c r="W14" s="2">
        <v>-0.83</v>
      </c>
      <c r="X14" s="2" t="s">
        <v>168</v>
      </c>
    </row>
    <row r="15" spans="1:24" x14ac:dyDescent="0.3">
      <c r="A15" s="2" cm="1">
        <f t="array" ref="A15">CountByColumnLogic(C15:X15)</f>
        <v>6</v>
      </c>
      <c r="B15" t="s">
        <v>35</v>
      </c>
      <c r="C15" s="2">
        <v>22.6</v>
      </c>
      <c r="D15" s="2">
        <v>20</v>
      </c>
      <c r="E15" s="2">
        <v>82</v>
      </c>
      <c r="F15" s="2">
        <v>20</v>
      </c>
      <c r="G15" s="2">
        <v>6</v>
      </c>
      <c r="H15" s="2">
        <v>0.47299999999999998</v>
      </c>
      <c r="I15" s="2">
        <v>0.32800000000000001</v>
      </c>
      <c r="J15" s="2">
        <v>7.31</v>
      </c>
      <c r="K15" s="2">
        <v>236.4</v>
      </c>
      <c r="L15" s="2">
        <v>182.2</v>
      </c>
      <c r="M15" s="2">
        <v>0.78400000000000003</v>
      </c>
      <c r="N15" s="2">
        <v>0.85099999999999998</v>
      </c>
      <c r="O15" s="2">
        <v>137.80000000000001</v>
      </c>
      <c r="P15" s="2">
        <v>173.8</v>
      </c>
      <c r="Q15" s="2">
        <v>17.399999999999999</v>
      </c>
      <c r="R15" s="2">
        <v>33.799999999999997</v>
      </c>
      <c r="S15" s="2">
        <v>16.399999999999999</v>
      </c>
      <c r="T15" s="2">
        <v>146.38999999999999</v>
      </c>
      <c r="U15" s="2">
        <v>320.10000000000002</v>
      </c>
      <c r="V15" s="2">
        <v>410.2</v>
      </c>
      <c r="W15" s="2">
        <v>0.54</v>
      </c>
      <c r="X15" s="2">
        <v>5</v>
      </c>
    </row>
    <row r="16" spans="1:24" x14ac:dyDescent="0.3">
      <c r="A16" s="2" cm="1">
        <f t="array" ref="A16">CountByColumnLogic(C16:X16)</f>
        <v>17</v>
      </c>
      <c r="B16" t="s">
        <v>36</v>
      </c>
      <c r="C16" s="2">
        <v>-7.1</v>
      </c>
      <c r="D16" s="2">
        <v>101</v>
      </c>
      <c r="E16" s="2">
        <v>33</v>
      </c>
      <c r="F16" s="2">
        <v>68</v>
      </c>
      <c r="G16" s="2">
        <v>119</v>
      </c>
      <c r="H16" s="2">
        <v>0.43099999999999999</v>
      </c>
      <c r="I16" s="2">
        <v>0.45600000000000002</v>
      </c>
      <c r="J16" s="2">
        <v>6</v>
      </c>
      <c r="K16" s="2">
        <v>273</v>
      </c>
      <c r="L16" s="2">
        <v>214.8</v>
      </c>
      <c r="M16" s="2">
        <v>0.92300000000000004</v>
      </c>
      <c r="N16" s="2">
        <v>0.71699999999999997</v>
      </c>
      <c r="O16" s="2">
        <v>197.6</v>
      </c>
      <c r="P16" s="2">
        <v>153.80000000000001</v>
      </c>
      <c r="Q16" s="2">
        <v>32.9</v>
      </c>
      <c r="R16" s="2">
        <v>26.6</v>
      </c>
      <c r="S16" s="2">
        <v>-6.3</v>
      </c>
      <c r="T16" s="2">
        <v>131.16</v>
      </c>
      <c r="U16" s="2">
        <v>412.5</v>
      </c>
      <c r="V16" s="2">
        <v>426.8</v>
      </c>
      <c r="W16" s="2">
        <v>-0.82</v>
      </c>
      <c r="X16" s="2" t="s">
        <v>168</v>
      </c>
    </row>
    <row r="17" spans="1:24" x14ac:dyDescent="0.3">
      <c r="A17" s="2" cm="1">
        <f t="array" ref="A17">CountByColumnLogic(C17:X17)</f>
        <v>12</v>
      </c>
      <c r="B17" t="s">
        <v>37</v>
      </c>
      <c r="C17" s="2">
        <v>12.3</v>
      </c>
      <c r="D17" s="2">
        <v>39</v>
      </c>
      <c r="E17" s="2">
        <v>77</v>
      </c>
      <c r="F17" s="2">
        <v>6</v>
      </c>
      <c r="G17" s="2">
        <v>30</v>
      </c>
      <c r="H17" s="2">
        <v>0.45900000000000002</v>
      </c>
      <c r="I17" s="2">
        <v>0.43</v>
      </c>
      <c r="J17" s="2">
        <v>6.43</v>
      </c>
      <c r="K17" s="2">
        <v>229.5</v>
      </c>
      <c r="L17" s="2">
        <v>226.7</v>
      </c>
      <c r="M17" s="2">
        <v>0.84599999999999997</v>
      </c>
      <c r="N17" s="2">
        <v>0.754</v>
      </c>
      <c r="O17" s="2">
        <v>112.9</v>
      </c>
      <c r="P17" s="2">
        <v>199.9</v>
      </c>
      <c r="Q17" s="2">
        <v>22.6</v>
      </c>
      <c r="R17" s="2">
        <v>32.9</v>
      </c>
      <c r="S17" s="2">
        <v>10.3</v>
      </c>
      <c r="T17" s="2">
        <v>151.22999999999999</v>
      </c>
      <c r="U17" s="2">
        <v>339.6</v>
      </c>
      <c r="V17" s="2">
        <v>429.4</v>
      </c>
      <c r="W17" s="2">
        <v>1</v>
      </c>
      <c r="X17" s="2" t="s">
        <v>168</v>
      </c>
    </row>
    <row r="18" spans="1:24" x14ac:dyDescent="0.3">
      <c r="A18" s="2" cm="1">
        <f t="array" ref="A18">CountByColumnLogic(C18:X18)</f>
        <v>17</v>
      </c>
      <c r="B18" t="s">
        <v>38</v>
      </c>
      <c r="C18" s="2">
        <v>-3.2</v>
      </c>
      <c r="D18" s="2">
        <v>58</v>
      </c>
      <c r="E18" s="2">
        <v>38</v>
      </c>
      <c r="F18" s="2">
        <v>78</v>
      </c>
      <c r="G18" s="2">
        <v>102</v>
      </c>
      <c r="H18" s="2">
        <v>0.42899999999999999</v>
      </c>
      <c r="I18" s="2">
        <v>0.41399999999999998</v>
      </c>
      <c r="J18" s="2">
        <v>6.5</v>
      </c>
      <c r="K18" s="2">
        <v>247.9</v>
      </c>
      <c r="L18" s="2">
        <v>239</v>
      </c>
      <c r="M18" s="2">
        <v>0.83</v>
      </c>
      <c r="N18" s="2">
        <v>0.875</v>
      </c>
      <c r="O18" s="2">
        <v>174</v>
      </c>
      <c r="P18" s="2">
        <v>106.6</v>
      </c>
      <c r="Q18" s="2">
        <v>31.8</v>
      </c>
      <c r="R18" s="2">
        <v>21.8</v>
      </c>
      <c r="S18" s="2">
        <v>-10</v>
      </c>
      <c r="T18" s="2">
        <v>124.78</v>
      </c>
      <c r="U18" s="2">
        <v>413</v>
      </c>
      <c r="V18" s="2">
        <v>354.5</v>
      </c>
      <c r="W18" s="2">
        <v>-0.33</v>
      </c>
      <c r="X18" s="2">
        <v>21</v>
      </c>
    </row>
    <row r="19" spans="1:24" x14ac:dyDescent="0.3">
      <c r="A19" s="2" cm="1">
        <f t="array" ref="A19">CountByColumnLogic(C19:X19)</f>
        <v>13</v>
      </c>
      <c r="B19" t="s">
        <v>39</v>
      </c>
      <c r="C19" s="2">
        <v>9</v>
      </c>
      <c r="D19" s="2">
        <v>24</v>
      </c>
      <c r="E19" s="2">
        <v>67.2</v>
      </c>
      <c r="F19" s="2">
        <v>41</v>
      </c>
      <c r="G19" s="2">
        <v>29</v>
      </c>
      <c r="H19" s="2">
        <v>0.436</v>
      </c>
      <c r="I19" s="2">
        <v>0.35899999999999999</v>
      </c>
      <c r="J19" s="2">
        <v>7.15</v>
      </c>
      <c r="K19" s="2">
        <v>274.7</v>
      </c>
      <c r="L19" s="2">
        <v>246.9</v>
      </c>
      <c r="M19" s="2">
        <v>0.80900000000000005</v>
      </c>
      <c r="N19" s="2">
        <v>0.85199999999999998</v>
      </c>
      <c r="O19" s="2">
        <v>129.19999999999999</v>
      </c>
      <c r="P19" s="2">
        <v>184.8</v>
      </c>
      <c r="Q19" s="2">
        <v>25</v>
      </c>
      <c r="R19" s="2">
        <v>30.9</v>
      </c>
      <c r="S19" s="2">
        <v>5.9</v>
      </c>
      <c r="T19" s="2">
        <v>142.46</v>
      </c>
      <c r="U19" s="2">
        <v>376.1</v>
      </c>
      <c r="V19" s="2">
        <v>459.5</v>
      </c>
      <c r="W19" s="2">
        <v>-0.62</v>
      </c>
      <c r="X19" s="2" t="s">
        <v>168</v>
      </c>
    </row>
    <row r="20" spans="1:24" x14ac:dyDescent="0.3">
      <c r="A20" s="2" cm="1">
        <f t="array" ref="A20">CountByColumnLogic(C20:X20)</f>
        <v>16</v>
      </c>
      <c r="B20" t="s">
        <v>40</v>
      </c>
      <c r="C20" s="2">
        <v>-11.1</v>
      </c>
      <c r="D20" s="2">
        <v>95</v>
      </c>
      <c r="E20" s="2">
        <v>29.3</v>
      </c>
      <c r="F20" s="2">
        <v>84</v>
      </c>
      <c r="G20" s="2">
        <v>124</v>
      </c>
      <c r="H20" s="2">
        <v>0.40799999999999997</v>
      </c>
      <c r="I20" s="2">
        <v>0.47499999999999998</v>
      </c>
      <c r="J20" s="2">
        <v>5.62</v>
      </c>
      <c r="K20" s="2">
        <v>227.5</v>
      </c>
      <c r="L20" s="2">
        <v>250.1</v>
      </c>
      <c r="M20" s="2">
        <v>0.878</v>
      </c>
      <c r="N20" s="2">
        <v>0.91100000000000003</v>
      </c>
      <c r="O20" s="2">
        <v>211.7</v>
      </c>
      <c r="P20" s="2">
        <v>156.9</v>
      </c>
      <c r="Q20" s="2">
        <v>32.200000000000003</v>
      </c>
      <c r="R20" s="2">
        <v>25.8</v>
      </c>
      <c r="S20" s="2">
        <v>-6.4</v>
      </c>
      <c r="T20" s="2">
        <v>127.85</v>
      </c>
      <c r="U20" s="2">
        <v>461.8</v>
      </c>
      <c r="V20" s="2">
        <v>384.4</v>
      </c>
      <c r="W20" s="2">
        <v>0.15</v>
      </c>
      <c r="X20" s="2" t="s">
        <v>168</v>
      </c>
    </row>
    <row r="21" spans="1:24" x14ac:dyDescent="0.3">
      <c r="A21" s="2" cm="1">
        <f t="array" ref="A21">CountByColumnLogic(C21:X21)</f>
        <v>10</v>
      </c>
      <c r="B21" t="s">
        <v>41</v>
      </c>
      <c r="C21" s="2">
        <v>4.4000000000000004</v>
      </c>
      <c r="D21" s="2">
        <v>89</v>
      </c>
      <c r="E21" s="2">
        <v>71.3</v>
      </c>
      <c r="F21" s="2">
        <v>13</v>
      </c>
      <c r="G21" s="2">
        <v>59</v>
      </c>
      <c r="H21" s="2">
        <v>0.48499999999999999</v>
      </c>
      <c r="I21" s="2">
        <v>0.41399999999999998</v>
      </c>
      <c r="J21" s="2">
        <v>3.21</v>
      </c>
      <c r="K21" s="2">
        <v>80.599999999999994</v>
      </c>
      <c r="L21" s="2">
        <v>185.9</v>
      </c>
      <c r="M21" s="2">
        <v>0.6</v>
      </c>
      <c r="N21" s="2">
        <v>0.90900000000000003</v>
      </c>
      <c r="O21" s="2">
        <v>112</v>
      </c>
      <c r="P21" s="2">
        <v>300.5</v>
      </c>
      <c r="Q21" s="2">
        <v>15.5</v>
      </c>
      <c r="R21" s="2">
        <v>31.1</v>
      </c>
      <c r="S21" s="2">
        <v>15.6</v>
      </c>
      <c r="T21" s="2">
        <v>152.26</v>
      </c>
      <c r="U21" s="2">
        <v>297.89999999999998</v>
      </c>
      <c r="V21" s="2">
        <v>381.1</v>
      </c>
      <c r="W21" s="2">
        <v>0.79</v>
      </c>
      <c r="X21" s="2" t="s">
        <v>168</v>
      </c>
    </row>
    <row r="22" spans="1:24" x14ac:dyDescent="0.3">
      <c r="A22" s="2" cm="1">
        <f t="array" ref="A22">CountByColumnLogic(C22:X22)</f>
        <v>11</v>
      </c>
      <c r="B22" t="s">
        <v>42</v>
      </c>
      <c r="C22" s="2">
        <v>9.6</v>
      </c>
      <c r="D22" s="2">
        <v>33</v>
      </c>
      <c r="E22" s="2">
        <v>62.3</v>
      </c>
      <c r="F22" s="2">
        <v>54</v>
      </c>
      <c r="G22" s="2">
        <v>33</v>
      </c>
      <c r="H22" s="2">
        <v>0.41799999999999998</v>
      </c>
      <c r="I22" s="2">
        <v>0.39700000000000002</v>
      </c>
      <c r="J22" s="2">
        <v>5.75</v>
      </c>
      <c r="K22" s="2">
        <v>263.89999999999998</v>
      </c>
      <c r="L22" s="2">
        <v>213</v>
      </c>
      <c r="M22" s="2">
        <v>0.78400000000000003</v>
      </c>
      <c r="N22" s="2">
        <v>0.78</v>
      </c>
      <c r="O22" s="2">
        <v>117.8</v>
      </c>
      <c r="P22" s="2">
        <v>165.5</v>
      </c>
      <c r="Q22" s="2">
        <v>21.3</v>
      </c>
      <c r="R22" s="2">
        <v>27.8</v>
      </c>
      <c r="S22" s="2">
        <v>6.5</v>
      </c>
      <c r="T22" s="2">
        <v>151.53</v>
      </c>
      <c r="U22" s="2">
        <v>330.8</v>
      </c>
      <c r="V22" s="2">
        <v>429.4</v>
      </c>
      <c r="W22" s="2">
        <v>-0.75</v>
      </c>
      <c r="X22" s="2" t="s">
        <v>168</v>
      </c>
    </row>
    <row r="23" spans="1:24" x14ac:dyDescent="0.3">
      <c r="A23" s="2" cm="1">
        <f t="array" ref="A23">CountByColumnLogic(C23:X23)</f>
        <v>17</v>
      </c>
      <c r="B23" t="s">
        <v>43</v>
      </c>
      <c r="C23" s="2">
        <v>-17.600000000000001</v>
      </c>
      <c r="D23" s="2">
        <v>91</v>
      </c>
      <c r="E23" s="2">
        <v>23.3</v>
      </c>
      <c r="F23" s="2">
        <v>99</v>
      </c>
      <c r="G23" s="2">
        <v>130</v>
      </c>
      <c r="H23" s="2">
        <v>0.42399999999999999</v>
      </c>
      <c r="I23" s="2">
        <v>0.48599999999999999</v>
      </c>
      <c r="J23" s="2">
        <v>4.92</v>
      </c>
      <c r="K23" s="2">
        <v>245</v>
      </c>
      <c r="L23" s="2">
        <v>279.60000000000002</v>
      </c>
      <c r="M23" s="2">
        <v>0.97799999999999998</v>
      </c>
      <c r="N23" s="2">
        <v>0.88200000000000001</v>
      </c>
      <c r="O23" s="2">
        <v>175.3</v>
      </c>
      <c r="P23" s="2">
        <v>102.8</v>
      </c>
      <c r="Q23" s="2">
        <v>40.1</v>
      </c>
      <c r="R23" s="2">
        <v>25.3</v>
      </c>
      <c r="S23" s="2">
        <v>-14.8</v>
      </c>
      <c r="T23" s="2">
        <v>134.57</v>
      </c>
      <c r="U23" s="2">
        <v>454.9</v>
      </c>
      <c r="V23" s="2">
        <v>347.8</v>
      </c>
      <c r="W23" s="2">
        <v>0.17</v>
      </c>
      <c r="X23" s="2" t="s">
        <v>168</v>
      </c>
    </row>
    <row r="24" spans="1:24" x14ac:dyDescent="0.3">
      <c r="A24" s="2" cm="1">
        <f t="array" ref="A24">CountByColumnLogic(C24:X24)</f>
        <v>11</v>
      </c>
      <c r="B24" t="s">
        <v>44</v>
      </c>
      <c r="C24" s="2">
        <v>9</v>
      </c>
      <c r="D24" s="2">
        <v>48</v>
      </c>
      <c r="E24" s="2">
        <v>68.3</v>
      </c>
      <c r="F24" s="2">
        <v>25</v>
      </c>
      <c r="G24" s="2">
        <v>55</v>
      </c>
      <c r="H24" s="2">
        <v>0.438</v>
      </c>
      <c r="I24" s="2">
        <v>0.35799999999999998</v>
      </c>
      <c r="J24" s="2">
        <v>6.15</v>
      </c>
      <c r="K24" s="2">
        <v>261.3</v>
      </c>
      <c r="L24" s="2">
        <v>234.2</v>
      </c>
      <c r="M24" s="2">
        <v>0.79200000000000004</v>
      </c>
      <c r="N24" s="2">
        <v>0.83</v>
      </c>
      <c r="O24" s="2">
        <v>152</v>
      </c>
      <c r="P24" s="2">
        <v>178.8</v>
      </c>
      <c r="Q24" s="2">
        <v>26.2</v>
      </c>
      <c r="R24" s="2">
        <v>34.4</v>
      </c>
      <c r="S24" s="2">
        <v>8.1999999999999993</v>
      </c>
      <c r="T24" s="2">
        <v>150.28</v>
      </c>
      <c r="U24" s="2">
        <v>386.2</v>
      </c>
      <c r="V24" s="2">
        <v>440.1</v>
      </c>
      <c r="W24" s="2">
        <v>0.46</v>
      </c>
      <c r="X24" s="2" t="s">
        <v>168</v>
      </c>
    </row>
    <row r="25" spans="1:24" x14ac:dyDescent="0.3">
      <c r="A25" s="2" cm="1">
        <f t="array" ref="A25">CountByColumnLogic(C25:X25)</f>
        <v>11</v>
      </c>
      <c r="B25" t="s">
        <v>45</v>
      </c>
      <c r="C25" s="2">
        <v>10.6</v>
      </c>
      <c r="D25" s="2">
        <v>67</v>
      </c>
      <c r="E25" s="2">
        <v>73.8</v>
      </c>
      <c r="F25" s="2">
        <v>11</v>
      </c>
      <c r="G25" s="2">
        <v>35</v>
      </c>
      <c r="H25" s="2">
        <v>0.495</v>
      </c>
      <c r="I25" s="2">
        <v>0.38200000000000001</v>
      </c>
      <c r="J25" s="2">
        <v>5.43</v>
      </c>
      <c r="K25" s="2">
        <v>225.6</v>
      </c>
      <c r="L25" s="2">
        <v>241.4</v>
      </c>
      <c r="M25" s="2">
        <v>0.75</v>
      </c>
      <c r="N25" s="2">
        <v>0.875</v>
      </c>
      <c r="O25" s="2">
        <v>122.3</v>
      </c>
      <c r="P25" s="2">
        <v>240.4</v>
      </c>
      <c r="Q25" s="2">
        <v>22.6</v>
      </c>
      <c r="R25" s="2">
        <v>37.299999999999997</v>
      </c>
      <c r="S25" s="2">
        <v>14.7</v>
      </c>
      <c r="T25" s="2">
        <v>141.75</v>
      </c>
      <c r="U25" s="2">
        <v>363.7</v>
      </c>
      <c r="V25" s="2">
        <v>466</v>
      </c>
      <c r="W25" s="2">
        <v>0.28999999999999998</v>
      </c>
      <c r="X25" s="2" t="s">
        <v>168</v>
      </c>
    </row>
    <row r="26" spans="1:24" x14ac:dyDescent="0.3">
      <c r="A26" s="2" cm="1">
        <f t="array" ref="A26">CountByColumnLogic(C26:X26)</f>
        <v>15</v>
      </c>
      <c r="B26" t="s">
        <v>46</v>
      </c>
      <c r="C26" s="2">
        <v>4.2</v>
      </c>
      <c r="D26" s="2">
        <v>53</v>
      </c>
      <c r="E26" s="2">
        <v>57.8</v>
      </c>
      <c r="F26" s="2">
        <v>58</v>
      </c>
      <c r="G26" s="2">
        <v>48</v>
      </c>
      <c r="H26" s="2">
        <v>0.441</v>
      </c>
      <c r="I26" s="2">
        <v>0.36399999999999999</v>
      </c>
      <c r="J26" s="2">
        <v>4.46</v>
      </c>
      <c r="K26" s="2">
        <v>199.3</v>
      </c>
      <c r="L26" s="2">
        <v>245.8</v>
      </c>
      <c r="M26" s="2">
        <v>0.86</v>
      </c>
      <c r="N26" s="2">
        <v>0.71199999999999997</v>
      </c>
      <c r="O26" s="2">
        <v>114.9</v>
      </c>
      <c r="P26" s="2">
        <v>166.1</v>
      </c>
      <c r="Q26" s="2">
        <v>23.8</v>
      </c>
      <c r="R26" s="2">
        <v>28.2</v>
      </c>
      <c r="S26" s="2">
        <v>4.4000000000000004</v>
      </c>
      <c r="T26" s="2">
        <v>148.44</v>
      </c>
      <c r="U26" s="2">
        <v>360.7</v>
      </c>
      <c r="V26" s="2">
        <v>365.4</v>
      </c>
      <c r="W26" s="2">
        <v>0.69</v>
      </c>
      <c r="X26" s="2" t="s">
        <v>168</v>
      </c>
    </row>
    <row r="27" spans="1:24" x14ac:dyDescent="0.3">
      <c r="A27" s="2" cm="1">
        <f t="array" ref="A27">CountByColumnLogic(C27:X27)</f>
        <v>13</v>
      </c>
      <c r="B27" t="s">
        <v>47</v>
      </c>
      <c r="C27" s="2">
        <v>-3.5</v>
      </c>
      <c r="D27" s="2">
        <v>82</v>
      </c>
      <c r="E27" s="2">
        <v>45.3</v>
      </c>
      <c r="F27" s="2">
        <v>73</v>
      </c>
      <c r="G27" s="2">
        <v>63</v>
      </c>
      <c r="H27" s="2">
        <v>0.38200000000000001</v>
      </c>
      <c r="I27" s="2">
        <v>0.33900000000000002</v>
      </c>
      <c r="J27" s="2">
        <v>5.31</v>
      </c>
      <c r="K27" s="2">
        <v>240.6</v>
      </c>
      <c r="L27" s="2">
        <v>185.4</v>
      </c>
      <c r="M27" s="2">
        <v>0.76900000000000002</v>
      </c>
      <c r="N27" s="2">
        <v>0.82</v>
      </c>
      <c r="O27" s="2">
        <v>145.9</v>
      </c>
      <c r="P27" s="2">
        <v>136.80000000000001</v>
      </c>
      <c r="Q27" s="2">
        <v>21.6</v>
      </c>
      <c r="R27" s="2">
        <v>27.1</v>
      </c>
      <c r="S27" s="2">
        <v>5.5</v>
      </c>
      <c r="T27" s="2">
        <v>141.47</v>
      </c>
      <c r="U27" s="2">
        <v>331.3</v>
      </c>
      <c r="V27" s="2">
        <v>377.4</v>
      </c>
      <c r="W27" s="2">
        <v>0.23</v>
      </c>
      <c r="X27" s="2" t="s">
        <v>168</v>
      </c>
    </row>
    <row r="28" spans="1:24" x14ac:dyDescent="0.3">
      <c r="A28" s="2" cm="1">
        <f t="array" ref="A28">CountByColumnLogic(C28:X28)</f>
        <v>16</v>
      </c>
      <c r="B28" t="s">
        <v>48</v>
      </c>
      <c r="C28" s="2">
        <v>-8.6999999999999993</v>
      </c>
      <c r="D28" s="2">
        <v>115</v>
      </c>
      <c r="E28" s="2">
        <v>42.1</v>
      </c>
      <c r="F28" s="2">
        <v>106</v>
      </c>
      <c r="G28" s="2">
        <v>69</v>
      </c>
      <c r="H28" s="2">
        <v>0.33700000000000002</v>
      </c>
      <c r="I28" s="2">
        <v>0.371</v>
      </c>
      <c r="J28" s="2">
        <v>4.46</v>
      </c>
      <c r="K28" s="2">
        <v>186.3</v>
      </c>
      <c r="L28" s="2">
        <v>245.2</v>
      </c>
      <c r="M28" s="2">
        <v>0.83799999999999997</v>
      </c>
      <c r="N28" s="2">
        <v>0.82599999999999996</v>
      </c>
      <c r="O28" s="2">
        <v>146.6</v>
      </c>
      <c r="P28" s="2">
        <v>169.1</v>
      </c>
      <c r="Q28" s="2">
        <v>26.2</v>
      </c>
      <c r="R28" s="2">
        <v>28.8</v>
      </c>
      <c r="S28" s="2">
        <v>2.6</v>
      </c>
      <c r="T28" s="2">
        <v>129.15</v>
      </c>
      <c r="U28" s="2">
        <v>391.8</v>
      </c>
      <c r="V28" s="2">
        <v>355.4</v>
      </c>
      <c r="W28" s="2">
        <v>0.69</v>
      </c>
      <c r="X28" s="2" t="s">
        <v>168</v>
      </c>
    </row>
    <row r="29" spans="1:24" x14ac:dyDescent="0.3">
      <c r="A29" s="2" cm="1">
        <f t="array" ref="A29">CountByColumnLogic(C29:X29)</f>
        <v>12</v>
      </c>
      <c r="B29" t="s">
        <v>49</v>
      </c>
      <c r="C29" s="2">
        <v>10.8</v>
      </c>
      <c r="D29" s="2">
        <v>44</v>
      </c>
      <c r="E29" s="2">
        <v>76.3</v>
      </c>
      <c r="F29" s="2">
        <v>31</v>
      </c>
      <c r="G29" s="2">
        <v>18</v>
      </c>
      <c r="H29" s="2">
        <v>0.373</v>
      </c>
      <c r="I29" s="2">
        <v>0.41099999999999998</v>
      </c>
      <c r="J29" s="2">
        <v>5.08</v>
      </c>
      <c r="K29" s="2">
        <v>231.3</v>
      </c>
      <c r="L29" s="2">
        <v>182.5</v>
      </c>
      <c r="M29" s="2">
        <v>0.80500000000000005</v>
      </c>
      <c r="N29" s="2">
        <v>0.86299999999999999</v>
      </c>
      <c r="O29" s="2">
        <v>126.3</v>
      </c>
      <c r="P29" s="2">
        <v>161</v>
      </c>
      <c r="Q29" s="2">
        <v>19.600000000000001</v>
      </c>
      <c r="R29" s="2">
        <v>31.2</v>
      </c>
      <c r="S29" s="2">
        <v>11.6</v>
      </c>
      <c r="T29" s="2">
        <v>134.80000000000001</v>
      </c>
      <c r="U29" s="2">
        <v>308.8</v>
      </c>
      <c r="V29" s="2">
        <v>392.3</v>
      </c>
      <c r="W29" s="2">
        <v>0.62</v>
      </c>
      <c r="X29" s="2" t="s">
        <v>168</v>
      </c>
    </row>
    <row r="30" spans="1:24" x14ac:dyDescent="0.3">
      <c r="A30" s="2" cm="1">
        <f t="array" ref="A30">CountByColumnLogic(C30:X30)</f>
        <v>14</v>
      </c>
      <c r="B30" t="s">
        <v>50</v>
      </c>
      <c r="C30" s="2">
        <v>3.4</v>
      </c>
      <c r="D30" s="2">
        <v>71</v>
      </c>
      <c r="E30" s="2">
        <v>54.2</v>
      </c>
      <c r="F30" s="2">
        <v>82</v>
      </c>
      <c r="G30" s="2">
        <v>38</v>
      </c>
      <c r="H30" s="2">
        <v>0.373</v>
      </c>
      <c r="I30" s="2">
        <v>0.33300000000000002</v>
      </c>
      <c r="J30" s="2">
        <v>7.38</v>
      </c>
      <c r="K30" s="2">
        <v>258.60000000000002</v>
      </c>
      <c r="L30" s="2">
        <v>227.6</v>
      </c>
      <c r="M30" s="2">
        <v>0.82399999999999995</v>
      </c>
      <c r="N30" s="2">
        <v>0.83</v>
      </c>
      <c r="O30" s="2">
        <v>109.8</v>
      </c>
      <c r="P30" s="2">
        <v>121.5</v>
      </c>
      <c r="Q30" s="2">
        <v>22.3</v>
      </c>
      <c r="R30" s="2">
        <v>25.1</v>
      </c>
      <c r="S30" s="2">
        <v>2.8</v>
      </c>
      <c r="T30" s="2">
        <v>134.31</v>
      </c>
      <c r="U30" s="2">
        <v>337.5</v>
      </c>
      <c r="V30" s="2">
        <v>380.2</v>
      </c>
      <c r="W30" s="2">
        <v>0.85</v>
      </c>
      <c r="X30" s="2" t="s">
        <v>168</v>
      </c>
    </row>
    <row r="31" spans="1:24" x14ac:dyDescent="0.3">
      <c r="A31" s="2" cm="1">
        <f t="array" ref="A31">CountByColumnLogic(C31:X31)</f>
        <v>19</v>
      </c>
      <c r="B31" t="s">
        <v>51</v>
      </c>
      <c r="C31" s="2">
        <v>-14.4</v>
      </c>
      <c r="D31" s="2">
        <v>128</v>
      </c>
      <c r="E31" s="2">
        <v>22.5</v>
      </c>
      <c r="F31" s="2">
        <v>122</v>
      </c>
      <c r="G31" s="2">
        <v>114</v>
      </c>
      <c r="H31" s="2">
        <v>0.35199999999999998</v>
      </c>
      <c r="I31" s="2">
        <v>0.33800000000000002</v>
      </c>
      <c r="J31" s="2">
        <v>6.75</v>
      </c>
      <c r="K31" s="2">
        <v>163.4</v>
      </c>
      <c r="L31" s="2">
        <v>193.8</v>
      </c>
      <c r="M31" s="2">
        <v>0.872</v>
      </c>
      <c r="N31" s="2">
        <v>0.92100000000000004</v>
      </c>
      <c r="O31" s="2">
        <v>169.8</v>
      </c>
      <c r="P31" s="2">
        <v>166.1</v>
      </c>
      <c r="Q31" s="2">
        <v>29.7</v>
      </c>
      <c r="R31" s="2">
        <v>22.6</v>
      </c>
      <c r="S31" s="2">
        <v>-7.1</v>
      </c>
      <c r="T31" s="2">
        <v>113.92</v>
      </c>
      <c r="U31" s="2">
        <v>363.6</v>
      </c>
      <c r="V31" s="2">
        <v>329.5</v>
      </c>
      <c r="W31" s="2">
        <v>-1.42</v>
      </c>
      <c r="X31" s="2" t="s">
        <v>168</v>
      </c>
    </row>
    <row r="32" spans="1:24" x14ac:dyDescent="0.3">
      <c r="A32" s="2" cm="1">
        <f t="array" ref="A32">CountByColumnLogic(C32:X32)</f>
        <v>18</v>
      </c>
      <c r="B32" t="s">
        <v>52</v>
      </c>
      <c r="C32" s="2">
        <v>-13.4</v>
      </c>
      <c r="D32" s="2">
        <v>85</v>
      </c>
      <c r="E32" s="2">
        <v>27.1</v>
      </c>
      <c r="F32" s="2">
        <v>107</v>
      </c>
      <c r="G32" s="2">
        <v>120</v>
      </c>
      <c r="H32" s="2">
        <v>0.307</v>
      </c>
      <c r="I32" s="2">
        <v>0.41799999999999998</v>
      </c>
      <c r="J32" s="2">
        <v>7.75</v>
      </c>
      <c r="K32" s="2">
        <v>224.1</v>
      </c>
      <c r="L32" s="2">
        <v>222.8</v>
      </c>
      <c r="M32" s="2">
        <v>0.75</v>
      </c>
      <c r="N32" s="2">
        <v>0.90300000000000002</v>
      </c>
      <c r="O32" s="2">
        <v>210.3</v>
      </c>
      <c r="P32" s="2">
        <v>117.1</v>
      </c>
      <c r="Q32" s="2">
        <v>35.1</v>
      </c>
      <c r="R32" s="2">
        <v>23.7</v>
      </c>
      <c r="S32" s="2">
        <v>-11.4</v>
      </c>
      <c r="T32" s="2">
        <v>121.15</v>
      </c>
      <c r="U32" s="2">
        <v>433.2</v>
      </c>
      <c r="V32" s="2">
        <v>341.2</v>
      </c>
      <c r="W32" s="2">
        <v>-0.75</v>
      </c>
      <c r="X32" s="2" t="s">
        <v>168</v>
      </c>
    </row>
    <row r="33" spans="1:24" x14ac:dyDescent="0.3">
      <c r="A33" s="2" cm="1">
        <f t="array" ref="A33">CountByColumnLogic(C33:X33)</f>
        <v>16</v>
      </c>
      <c r="B33" t="s">
        <v>53</v>
      </c>
      <c r="C33" s="2">
        <v>3.5</v>
      </c>
      <c r="D33" s="2">
        <v>61</v>
      </c>
      <c r="E33" s="2">
        <v>58</v>
      </c>
      <c r="F33" s="2">
        <v>39</v>
      </c>
      <c r="G33" s="2">
        <v>60</v>
      </c>
      <c r="H33" s="2">
        <v>0.41899999999999998</v>
      </c>
      <c r="I33" s="2">
        <v>0.39</v>
      </c>
      <c r="J33" s="2">
        <v>5.33</v>
      </c>
      <c r="K33" s="2">
        <v>236.5</v>
      </c>
      <c r="L33" s="2">
        <v>222.8</v>
      </c>
      <c r="M33" s="2">
        <v>0.89700000000000002</v>
      </c>
      <c r="N33" s="2">
        <v>0.8</v>
      </c>
      <c r="O33" s="2">
        <v>162.69999999999999</v>
      </c>
      <c r="P33" s="2">
        <v>184.1</v>
      </c>
      <c r="Q33" s="2">
        <v>24.6</v>
      </c>
      <c r="R33" s="2">
        <v>25.2</v>
      </c>
      <c r="S33" s="2">
        <v>0.6</v>
      </c>
      <c r="T33" s="2">
        <v>135.63999999999999</v>
      </c>
      <c r="U33" s="2">
        <v>385.4</v>
      </c>
      <c r="V33" s="2">
        <v>420.6</v>
      </c>
      <c r="W33" s="2">
        <v>-0.33</v>
      </c>
      <c r="X33" s="2" t="s">
        <v>168</v>
      </c>
    </row>
    <row r="34" spans="1:24" x14ac:dyDescent="0.3">
      <c r="A34" s="2" cm="1">
        <f t="array" ref="A34">CountByColumnLogic(C34:X34)</f>
        <v>9</v>
      </c>
      <c r="B34" t="s">
        <v>54</v>
      </c>
      <c r="C34" s="2">
        <v>14.3</v>
      </c>
      <c r="D34" s="2">
        <v>28</v>
      </c>
      <c r="E34" s="2">
        <v>76.400000000000006</v>
      </c>
      <c r="F34" s="2">
        <v>7</v>
      </c>
      <c r="G34" s="2">
        <v>28</v>
      </c>
      <c r="H34" s="2">
        <v>0.439</v>
      </c>
      <c r="I34" s="2">
        <v>0.36399999999999999</v>
      </c>
      <c r="J34" s="2">
        <v>4.93</v>
      </c>
      <c r="K34" s="2">
        <v>278.5</v>
      </c>
      <c r="L34" s="2">
        <v>213.5</v>
      </c>
      <c r="M34" s="2">
        <v>0.80900000000000005</v>
      </c>
      <c r="N34" s="2">
        <v>0.86499999999999999</v>
      </c>
      <c r="O34" s="2">
        <v>160.6</v>
      </c>
      <c r="P34" s="2">
        <v>173.4</v>
      </c>
      <c r="Q34" s="2">
        <v>23</v>
      </c>
      <c r="R34" s="2">
        <v>34.700000000000003</v>
      </c>
      <c r="S34" s="2">
        <v>11.7</v>
      </c>
      <c r="T34" s="2">
        <v>143.83000000000001</v>
      </c>
      <c r="U34" s="2">
        <v>374.1</v>
      </c>
      <c r="V34" s="2">
        <v>451.9</v>
      </c>
      <c r="W34" s="2">
        <v>1.1399999999999999</v>
      </c>
      <c r="X34" s="2">
        <v>14</v>
      </c>
    </row>
    <row r="35" spans="1:24" x14ac:dyDescent="0.3">
      <c r="A35" s="2" cm="1">
        <f t="array" ref="A35">CountByColumnLogic(C35:X35)</f>
        <v>17</v>
      </c>
      <c r="B35" t="s">
        <v>55</v>
      </c>
      <c r="C35" s="2">
        <v>-8.1</v>
      </c>
      <c r="D35" s="2">
        <v>122</v>
      </c>
      <c r="E35" s="2">
        <v>36.5</v>
      </c>
      <c r="F35" s="2">
        <v>87</v>
      </c>
      <c r="G35" s="2">
        <v>97</v>
      </c>
      <c r="H35" s="2">
        <v>0.38200000000000001</v>
      </c>
      <c r="I35" s="2">
        <v>0.438</v>
      </c>
      <c r="J35" s="2">
        <v>6.92</v>
      </c>
      <c r="K35" s="2">
        <v>201.2</v>
      </c>
      <c r="L35" s="2">
        <v>227.8</v>
      </c>
      <c r="M35" s="2">
        <v>0.92300000000000004</v>
      </c>
      <c r="N35" s="2">
        <v>0.81299999999999994</v>
      </c>
      <c r="O35" s="2">
        <v>186.1</v>
      </c>
      <c r="P35" s="2">
        <v>172.5</v>
      </c>
      <c r="Q35" s="2">
        <v>31.2</v>
      </c>
      <c r="R35" s="2">
        <v>28.7</v>
      </c>
      <c r="S35" s="2">
        <v>-2.5</v>
      </c>
      <c r="T35" s="2">
        <v>127.78</v>
      </c>
      <c r="U35" s="2">
        <v>413.8</v>
      </c>
      <c r="V35" s="2">
        <v>373.7</v>
      </c>
      <c r="W35" s="2">
        <v>0.38</v>
      </c>
      <c r="X35" s="2" t="s">
        <v>168</v>
      </c>
    </row>
    <row r="36" spans="1:24" x14ac:dyDescent="0.3">
      <c r="A36" s="2" cm="1">
        <f t="array" ref="A36">CountByColumnLogic(C36:X36)</f>
        <v>13</v>
      </c>
      <c r="B36" t="s">
        <v>56</v>
      </c>
      <c r="C36" s="2">
        <v>11.4</v>
      </c>
      <c r="D36" s="2">
        <v>65</v>
      </c>
      <c r="E36" s="2">
        <v>71</v>
      </c>
      <c r="F36" s="2">
        <v>21</v>
      </c>
      <c r="G36" s="2">
        <v>26</v>
      </c>
      <c r="H36" s="2">
        <v>0.40899999999999997</v>
      </c>
      <c r="I36" s="2">
        <v>0.39200000000000002</v>
      </c>
      <c r="J36" s="2">
        <v>7.69</v>
      </c>
      <c r="K36" s="2">
        <v>318</v>
      </c>
      <c r="L36" s="2">
        <v>200.5</v>
      </c>
      <c r="M36" s="2">
        <v>0.74</v>
      </c>
      <c r="N36" s="2">
        <v>0.82399999999999995</v>
      </c>
      <c r="O36" s="2">
        <v>151.4</v>
      </c>
      <c r="P36" s="2">
        <v>65.2</v>
      </c>
      <c r="Q36" s="2">
        <v>23.1</v>
      </c>
      <c r="R36" s="2">
        <v>32.9</v>
      </c>
      <c r="S36" s="2">
        <v>9.8000000000000007</v>
      </c>
      <c r="T36" s="2">
        <v>166.46</v>
      </c>
      <c r="U36" s="2">
        <v>351.9</v>
      </c>
      <c r="V36" s="2">
        <v>383.2</v>
      </c>
      <c r="W36" s="2">
        <v>0.92</v>
      </c>
      <c r="X36" s="2" t="s">
        <v>168</v>
      </c>
    </row>
    <row r="37" spans="1:24" x14ac:dyDescent="0.3">
      <c r="A37" s="2" cm="1">
        <f t="array" ref="A37">CountByColumnLogic(C37:X37)</f>
        <v>17</v>
      </c>
      <c r="B37" t="s">
        <v>57</v>
      </c>
      <c r="C37" s="2">
        <v>-9.1</v>
      </c>
      <c r="D37" s="2">
        <v>77</v>
      </c>
      <c r="E37" s="2">
        <v>39.1</v>
      </c>
      <c r="F37" s="2">
        <v>109</v>
      </c>
      <c r="G37" s="2">
        <v>76</v>
      </c>
      <c r="H37" s="2">
        <v>0.36299999999999999</v>
      </c>
      <c r="I37" s="2">
        <v>0.39300000000000002</v>
      </c>
      <c r="J37" s="2">
        <v>6.46</v>
      </c>
      <c r="K37" s="2">
        <v>219.5</v>
      </c>
      <c r="L37" s="2">
        <v>234.7</v>
      </c>
      <c r="M37" s="2">
        <v>0.85399999999999998</v>
      </c>
      <c r="N37" s="2">
        <v>0.77300000000000002</v>
      </c>
      <c r="O37" s="2">
        <v>159.80000000000001</v>
      </c>
      <c r="P37" s="2">
        <v>168.2</v>
      </c>
      <c r="Q37" s="2">
        <v>25.8</v>
      </c>
      <c r="R37" s="2">
        <v>24.4</v>
      </c>
      <c r="S37" s="2">
        <v>-1.4</v>
      </c>
      <c r="T37" s="2">
        <v>130.37</v>
      </c>
      <c r="U37" s="2">
        <v>394.5</v>
      </c>
      <c r="V37" s="2">
        <v>387.6</v>
      </c>
      <c r="W37" s="2">
        <v>0.08</v>
      </c>
      <c r="X37" s="2" t="s">
        <v>168</v>
      </c>
    </row>
    <row r="38" spans="1:24" x14ac:dyDescent="0.3">
      <c r="A38" s="2" cm="1">
        <f t="array" ref="A38">CountByColumnLogic(C38:X38)</f>
        <v>15</v>
      </c>
      <c r="B38" t="s">
        <v>58</v>
      </c>
      <c r="C38" s="2">
        <v>2.5</v>
      </c>
      <c r="D38" s="2">
        <v>49</v>
      </c>
      <c r="E38" s="2">
        <v>58.8</v>
      </c>
      <c r="F38" s="2">
        <v>94</v>
      </c>
      <c r="G38" s="2">
        <v>24</v>
      </c>
      <c r="H38" s="2">
        <v>0.29499999999999998</v>
      </c>
      <c r="I38" s="2">
        <v>0.33800000000000002</v>
      </c>
      <c r="J38" s="2">
        <v>5.15</v>
      </c>
      <c r="K38" s="2">
        <v>244.3</v>
      </c>
      <c r="L38" s="2">
        <v>213.5</v>
      </c>
      <c r="M38" s="2">
        <v>0.81799999999999995</v>
      </c>
      <c r="N38" s="2">
        <v>0.85399999999999998</v>
      </c>
      <c r="O38" s="2">
        <v>149.6</v>
      </c>
      <c r="P38" s="2">
        <v>92.5</v>
      </c>
      <c r="Q38" s="2">
        <v>24.5</v>
      </c>
      <c r="R38" s="2">
        <v>26.3</v>
      </c>
      <c r="S38" s="2">
        <v>1.8</v>
      </c>
      <c r="T38" s="2">
        <v>131.30000000000001</v>
      </c>
      <c r="U38" s="2">
        <v>363.1</v>
      </c>
      <c r="V38" s="2">
        <v>336.8</v>
      </c>
      <c r="W38" s="2">
        <v>0.62</v>
      </c>
      <c r="X38" s="2" t="s">
        <v>168</v>
      </c>
    </row>
    <row r="39" spans="1:24" x14ac:dyDescent="0.3">
      <c r="A39" s="2" cm="1">
        <f t="array" ref="A39">CountByColumnLogic(C39:X39)</f>
        <v>16</v>
      </c>
      <c r="B39" t="s">
        <v>59</v>
      </c>
      <c r="C39" s="2">
        <v>-4.8</v>
      </c>
      <c r="D39" s="2">
        <v>126</v>
      </c>
      <c r="E39" s="2">
        <v>43</v>
      </c>
      <c r="F39" s="2">
        <v>100</v>
      </c>
      <c r="G39" s="2">
        <v>77</v>
      </c>
      <c r="H39" s="2">
        <v>0.45100000000000001</v>
      </c>
      <c r="I39" s="2">
        <v>0.39400000000000002</v>
      </c>
      <c r="J39" s="2">
        <v>7.62</v>
      </c>
      <c r="K39" s="2">
        <v>264</v>
      </c>
      <c r="L39" s="2">
        <v>235.3</v>
      </c>
      <c r="M39" s="2">
        <v>0.745</v>
      </c>
      <c r="N39" s="2">
        <v>0.755</v>
      </c>
      <c r="O39" s="2">
        <v>169.8</v>
      </c>
      <c r="P39" s="2">
        <v>172.4</v>
      </c>
      <c r="Q39" s="2">
        <v>27.3</v>
      </c>
      <c r="R39" s="2">
        <v>32</v>
      </c>
      <c r="S39" s="2">
        <v>4.7</v>
      </c>
      <c r="T39" s="2">
        <v>136.94</v>
      </c>
      <c r="U39" s="2">
        <v>405.2</v>
      </c>
      <c r="V39" s="2">
        <v>436.4</v>
      </c>
      <c r="W39" s="2">
        <v>-0.62</v>
      </c>
      <c r="X39" s="2" t="s">
        <v>168</v>
      </c>
    </row>
    <row r="40" spans="1:24" x14ac:dyDescent="0.3">
      <c r="A40" s="2" cm="1">
        <f t="array" ref="A40">CountByColumnLogic(C40:X40)</f>
        <v>16</v>
      </c>
      <c r="B40" t="s">
        <v>60</v>
      </c>
      <c r="C40" s="2">
        <v>-13</v>
      </c>
      <c r="D40" s="2">
        <v>130</v>
      </c>
      <c r="E40" s="2">
        <v>27</v>
      </c>
      <c r="F40" s="2">
        <v>117</v>
      </c>
      <c r="G40" s="2">
        <v>106</v>
      </c>
      <c r="H40" s="2">
        <v>0.42199999999999999</v>
      </c>
      <c r="I40" s="2">
        <v>0.36199999999999999</v>
      </c>
      <c r="J40" s="2">
        <v>6.42</v>
      </c>
      <c r="K40" s="2">
        <v>236</v>
      </c>
      <c r="L40" s="2">
        <v>220.9</v>
      </c>
      <c r="M40" s="2">
        <v>0.81299999999999994</v>
      </c>
      <c r="N40" s="2">
        <v>0.84099999999999997</v>
      </c>
      <c r="O40" s="2">
        <v>162.80000000000001</v>
      </c>
      <c r="P40" s="2">
        <v>141.80000000000001</v>
      </c>
      <c r="Q40" s="2">
        <v>27.9</v>
      </c>
      <c r="R40" s="2">
        <v>25.9</v>
      </c>
      <c r="S40" s="2">
        <v>-2</v>
      </c>
      <c r="T40" s="2">
        <v>125.72</v>
      </c>
      <c r="U40" s="2">
        <v>383.8</v>
      </c>
      <c r="V40" s="2">
        <v>377.8</v>
      </c>
      <c r="W40" s="2">
        <v>-0.17</v>
      </c>
      <c r="X40" s="2" t="s">
        <v>168</v>
      </c>
    </row>
    <row r="41" spans="1:24" x14ac:dyDescent="0.3">
      <c r="A41" s="2" cm="1">
        <f t="array" ref="A41">CountByColumnLogic(C41:X41)</f>
        <v>16</v>
      </c>
      <c r="B41" t="s">
        <v>61</v>
      </c>
      <c r="C41" s="2">
        <v>-12</v>
      </c>
      <c r="D41" s="2">
        <v>106</v>
      </c>
      <c r="E41" s="2">
        <v>30.5</v>
      </c>
      <c r="F41" s="2">
        <v>120</v>
      </c>
      <c r="G41" s="2">
        <v>90</v>
      </c>
      <c r="H41" s="2">
        <v>0.31</v>
      </c>
      <c r="I41" s="2">
        <v>0.32200000000000001</v>
      </c>
      <c r="J41" s="2">
        <v>5.5</v>
      </c>
      <c r="K41" s="2">
        <v>229.4</v>
      </c>
      <c r="L41" s="2">
        <v>179.6</v>
      </c>
      <c r="M41" s="2">
        <v>0.78300000000000003</v>
      </c>
      <c r="N41" s="2">
        <v>0.81599999999999995</v>
      </c>
      <c r="O41" s="2">
        <v>191.3</v>
      </c>
      <c r="P41" s="2">
        <v>120.6</v>
      </c>
      <c r="Q41" s="2">
        <v>25.8</v>
      </c>
      <c r="R41" s="2">
        <v>26.3</v>
      </c>
      <c r="S41" s="2">
        <v>0.5</v>
      </c>
      <c r="T41" s="2">
        <v>148.04</v>
      </c>
      <c r="U41" s="2">
        <v>370.9</v>
      </c>
      <c r="V41" s="2">
        <v>350</v>
      </c>
      <c r="W41" s="2">
        <v>-0.25</v>
      </c>
      <c r="X41" s="2" t="s">
        <v>168</v>
      </c>
    </row>
    <row r="42" spans="1:24" x14ac:dyDescent="0.3">
      <c r="A42" s="2" cm="1">
        <f t="array" ref="A42">CountByColumnLogic(C42:X42)</f>
        <v>15</v>
      </c>
      <c r="B42" t="s">
        <v>62</v>
      </c>
      <c r="C42" s="2">
        <v>-12</v>
      </c>
      <c r="D42" s="2">
        <v>131</v>
      </c>
      <c r="E42" s="2">
        <v>23.6</v>
      </c>
      <c r="F42" s="2">
        <v>119</v>
      </c>
      <c r="G42" s="2">
        <v>105</v>
      </c>
      <c r="H42" s="2">
        <v>0.34799999999999998</v>
      </c>
      <c r="I42" s="2">
        <v>0.37</v>
      </c>
      <c r="J42" s="2">
        <v>6.58</v>
      </c>
      <c r="K42" s="2">
        <v>208.6</v>
      </c>
      <c r="L42" s="2">
        <v>233.2</v>
      </c>
      <c r="M42" s="2">
        <v>0.79500000000000004</v>
      </c>
      <c r="N42" s="2">
        <v>0.71399999999999997</v>
      </c>
      <c r="O42" s="2">
        <v>183.5</v>
      </c>
      <c r="P42" s="2">
        <v>189</v>
      </c>
      <c r="Q42" s="2">
        <v>30.3</v>
      </c>
      <c r="R42" s="2">
        <v>25.9</v>
      </c>
      <c r="S42" s="2">
        <v>-4.4000000000000004</v>
      </c>
      <c r="T42" s="2">
        <v>125.56</v>
      </c>
      <c r="U42" s="2">
        <v>416.7</v>
      </c>
      <c r="V42" s="2">
        <v>397.6</v>
      </c>
      <c r="W42" s="2">
        <v>0</v>
      </c>
      <c r="X42" s="2" t="s">
        <v>168</v>
      </c>
    </row>
    <row r="43" spans="1:24" x14ac:dyDescent="0.3">
      <c r="A43" s="2" cm="1">
        <f t="array" ref="A43">CountByColumnLogic(C43:X43)</f>
        <v>12</v>
      </c>
      <c r="B43" t="s">
        <v>63</v>
      </c>
      <c r="C43" s="2">
        <v>13</v>
      </c>
      <c r="D43" s="2">
        <v>7</v>
      </c>
      <c r="E43" s="2">
        <v>73.3</v>
      </c>
      <c r="F43" s="2">
        <v>51</v>
      </c>
      <c r="G43" s="2">
        <v>15</v>
      </c>
      <c r="H43" s="2">
        <v>0.379</v>
      </c>
      <c r="I43" s="2">
        <v>0.39700000000000002</v>
      </c>
      <c r="J43" s="2">
        <v>5.92</v>
      </c>
      <c r="K43" s="2">
        <v>225.7</v>
      </c>
      <c r="L43" s="2">
        <v>227.5</v>
      </c>
      <c r="M43" s="2">
        <v>0.72499999999999998</v>
      </c>
      <c r="N43" s="2">
        <v>0.86299999999999999</v>
      </c>
      <c r="O43" s="2">
        <v>149.5</v>
      </c>
      <c r="P43" s="2">
        <v>161.19999999999999</v>
      </c>
      <c r="Q43" s="2">
        <v>23.1</v>
      </c>
      <c r="R43" s="2">
        <v>28.3</v>
      </c>
      <c r="S43" s="2">
        <v>5.2</v>
      </c>
      <c r="T43" s="2">
        <v>142.06</v>
      </c>
      <c r="U43" s="2">
        <v>376.9</v>
      </c>
      <c r="V43" s="2">
        <v>386.9</v>
      </c>
      <c r="W43" s="2">
        <v>0.46</v>
      </c>
      <c r="X43" s="2" t="s">
        <v>168</v>
      </c>
    </row>
    <row r="44" spans="1:24" x14ac:dyDescent="0.3">
      <c r="A44" s="2" cm="1">
        <f t="array" ref="A44">CountByColumnLogic(C44:X44)</f>
        <v>17</v>
      </c>
      <c r="B44" t="s">
        <v>64</v>
      </c>
      <c r="C44" s="2">
        <v>-4.3</v>
      </c>
      <c r="D44" s="2">
        <v>25</v>
      </c>
      <c r="E44" s="2">
        <v>33.700000000000003</v>
      </c>
      <c r="F44" s="2">
        <v>123</v>
      </c>
      <c r="G44" s="2">
        <v>85</v>
      </c>
      <c r="H44" s="2">
        <v>0.28799999999999998</v>
      </c>
      <c r="I44" s="2">
        <v>0.44400000000000001</v>
      </c>
      <c r="J44" s="2">
        <v>5.58</v>
      </c>
      <c r="K44" s="2">
        <v>180.3</v>
      </c>
      <c r="L44" s="2">
        <v>201.3</v>
      </c>
      <c r="M44" s="2">
        <v>0.80400000000000005</v>
      </c>
      <c r="N44" s="2">
        <v>0.85199999999999998</v>
      </c>
      <c r="O44" s="2">
        <v>184.7</v>
      </c>
      <c r="P44" s="2">
        <v>89.9</v>
      </c>
      <c r="Q44" s="2">
        <v>28</v>
      </c>
      <c r="R44" s="2">
        <v>15.4</v>
      </c>
      <c r="S44" s="2">
        <v>-12.6</v>
      </c>
      <c r="T44" s="2">
        <v>104.53</v>
      </c>
      <c r="U44" s="2">
        <v>385.9</v>
      </c>
      <c r="V44" s="2">
        <v>270.3</v>
      </c>
      <c r="W44" s="2">
        <v>-1.33</v>
      </c>
      <c r="X44" s="2">
        <v>10</v>
      </c>
    </row>
    <row r="45" spans="1:24" x14ac:dyDescent="0.3">
      <c r="A45" s="2" cm="1">
        <f t="array" ref="A45">CountByColumnLogic(C45:X45)</f>
        <v>13</v>
      </c>
      <c r="B45" t="s">
        <v>65</v>
      </c>
      <c r="C45" s="2">
        <v>-3.2</v>
      </c>
      <c r="D45" s="2">
        <v>98</v>
      </c>
      <c r="E45" s="2">
        <v>47</v>
      </c>
      <c r="F45" s="2">
        <v>91</v>
      </c>
      <c r="G45" s="2">
        <v>51</v>
      </c>
      <c r="H45" s="2">
        <v>0.39500000000000002</v>
      </c>
      <c r="I45" s="2">
        <v>0.35299999999999998</v>
      </c>
      <c r="J45" s="2">
        <v>6.15</v>
      </c>
      <c r="K45" s="2">
        <v>242.5</v>
      </c>
      <c r="L45" s="2">
        <v>216.2</v>
      </c>
      <c r="M45" s="2">
        <v>0.80800000000000005</v>
      </c>
      <c r="N45" s="2">
        <v>0.83</v>
      </c>
      <c r="O45" s="2">
        <v>139.4</v>
      </c>
      <c r="P45" s="2">
        <v>98.2</v>
      </c>
      <c r="Q45" s="2">
        <v>24.8</v>
      </c>
      <c r="R45" s="2">
        <v>26.1</v>
      </c>
      <c r="S45" s="2">
        <v>1.3</v>
      </c>
      <c r="T45" s="2">
        <v>139.53</v>
      </c>
      <c r="U45" s="2">
        <v>355.6</v>
      </c>
      <c r="V45" s="2">
        <v>340.6</v>
      </c>
      <c r="W45" s="2">
        <v>0.23</v>
      </c>
      <c r="X45" s="2" t="s">
        <v>168</v>
      </c>
    </row>
    <row r="46" spans="1:24" x14ac:dyDescent="0.3">
      <c r="A46" s="2" cm="1">
        <f t="array" ref="A46">CountByColumnLogic(C46:X46)</f>
        <v>5</v>
      </c>
      <c r="B46" t="s">
        <v>66</v>
      </c>
      <c r="C46" s="2">
        <v>21.4</v>
      </c>
      <c r="D46" s="2">
        <v>1</v>
      </c>
      <c r="E46" s="2">
        <v>80.900000000000006</v>
      </c>
      <c r="F46" s="2">
        <v>12</v>
      </c>
      <c r="G46" s="2">
        <v>14</v>
      </c>
      <c r="H46" s="2">
        <v>0.39200000000000002</v>
      </c>
      <c r="I46" s="2">
        <v>0.32800000000000001</v>
      </c>
      <c r="J46" s="2">
        <v>5.71</v>
      </c>
      <c r="K46" s="2">
        <v>281</v>
      </c>
      <c r="L46" s="2">
        <v>200.2</v>
      </c>
      <c r="M46" s="2">
        <v>0.81</v>
      </c>
      <c r="N46" s="2">
        <v>0.9</v>
      </c>
      <c r="O46" s="2">
        <v>129.6</v>
      </c>
      <c r="P46" s="2">
        <v>124.4</v>
      </c>
      <c r="Q46" s="2">
        <v>20.6</v>
      </c>
      <c r="R46" s="2">
        <v>31.5</v>
      </c>
      <c r="S46" s="2">
        <v>10.9</v>
      </c>
      <c r="T46" s="2">
        <v>143.5</v>
      </c>
      <c r="U46" s="2">
        <v>329.9</v>
      </c>
      <c r="V46" s="2">
        <v>405.4</v>
      </c>
      <c r="W46" s="2">
        <v>-7.0000000000000007E-2</v>
      </c>
      <c r="X46" s="2">
        <v>1</v>
      </c>
    </row>
    <row r="47" spans="1:24" x14ac:dyDescent="0.3">
      <c r="A47" s="2" cm="1">
        <f t="array" ref="A47">CountByColumnLogic(C47:X47)</f>
        <v>17</v>
      </c>
      <c r="B47" t="s">
        <v>67</v>
      </c>
      <c r="C47" s="2">
        <v>-3</v>
      </c>
      <c r="D47" s="2">
        <v>79</v>
      </c>
      <c r="E47" s="2">
        <v>46.7</v>
      </c>
      <c r="F47" s="2">
        <v>66</v>
      </c>
      <c r="G47" s="2">
        <v>88</v>
      </c>
      <c r="H47" s="2">
        <v>0.45500000000000002</v>
      </c>
      <c r="I47" s="2">
        <v>0.46800000000000003</v>
      </c>
      <c r="J47" s="2">
        <v>5.62</v>
      </c>
      <c r="K47" s="2">
        <v>237.8</v>
      </c>
      <c r="L47" s="2">
        <v>258.60000000000002</v>
      </c>
      <c r="M47" s="2">
        <v>0.83299999999999996</v>
      </c>
      <c r="N47" s="2">
        <v>0.93200000000000005</v>
      </c>
      <c r="O47" s="2">
        <v>170</v>
      </c>
      <c r="P47" s="2">
        <v>127.6</v>
      </c>
      <c r="Q47" s="2">
        <v>27.6</v>
      </c>
      <c r="R47" s="2">
        <v>28</v>
      </c>
      <c r="S47" s="2">
        <v>0.4</v>
      </c>
      <c r="T47" s="2">
        <v>133.62</v>
      </c>
      <c r="U47" s="2">
        <v>428.6</v>
      </c>
      <c r="V47" s="2">
        <v>365.4</v>
      </c>
      <c r="W47" s="2">
        <v>-0.23</v>
      </c>
      <c r="X47" s="2" t="s">
        <v>168</v>
      </c>
    </row>
    <row r="48" spans="1:24" x14ac:dyDescent="0.3">
      <c r="A48" s="2" cm="1">
        <f t="array" ref="A48">CountByColumnLogic(C48:X48)</f>
        <v>18</v>
      </c>
      <c r="B48" t="s">
        <v>68</v>
      </c>
      <c r="C48" s="2">
        <v>-10.4</v>
      </c>
      <c r="D48" s="2">
        <v>104</v>
      </c>
      <c r="E48" s="2">
        <v>28.1</v>
      </c>
      <c r="F48" s="2">
        <v>92</v>
      </c>
      <c r="G48" s="2">
        <v>118</v>
      </c>
      <c r="H48" s="2">
        <v>0.35799999999999998</v>
      </c>
      <c r="I48" s="2">
        <v>0.45100000000000001</v>
      </c>
      <c r="J48" s="2">
        <v>5.08</v>
      </c>
      <c r="K48" s="2">
        <v>255.8</v>
      </c>
      <c r="L48" s="2">
        <v>208.3</v>
      </c>
      <c r="M48" s="2">
        <v>0.86299999999999999</v>
      </c>
      <c r="N48" s="2">
        <v>0.79500000000000004</v>
      </c>
      <c r="O48" s="2">
        <v>210.3</v>
      </c>
      <c r="P48" s="2">
        <v>133.30000000000001</v>
      </c>
      <c r="Q48" s="2">
        <v>33.799999999999997</v>
      </c>
      <c r="R48" s="2">
        <v>23.8</v>
      </c>
      <c r="S48" s="2">
        <v>-10</v>
      </c>
      <c r="T48" s="2">
        <v>127.42</v>
      </c>
      <c r="U48" s="2">
        <v>418.7</v>
      </c>
      <c r="V48" s="2">
        <v>389</v>
      </c>
      <c r="W48" s="2">
        <v>-0.17</v>
      </c>
      <c r="X48" s="2" t="s">
        <v>168</v>
      </c>
    </row>
    <row r="49" spans="1:24" x14ac:dyDescent="0.3">
      <c r="A49" s="2" cm="1">
        <f t="array" ref="A49">CountByColumnLogic(C49:X49)</f>
        <v>10</v>
      </c>
      <c r="B49" t="s">
        <v>69</v>
      </c>
      <c r="C49" s="2">
        <v>6.5</v>
      </c>
      <c r="D49" s="2">
        <v>23</v>
      </c>
      <c r="E49" s="2">
        <v>62.6</v>
      </c>
      <c r="F49" s="2">
        <v>23</v>
      </c>
      <c r="G49" s="2">
        <v>58</v>
      </c>
      <c r="H49" s="2">
        <v>0.40799999999999997</v>
      </c>
      <c r="I49" s="2">
        <v>0.33500000000000002</v>
      </c>
      <c r="J49" s="2">
        <v>5.38</v>
      </c>
      <c r="K49" s="2">
        <v>237.5</v>
      </c>
      <c r="L49" s="2">
        <v>220.7</v>
      </c>
      <c r="M49" s="2">
        <v>0.872</v>
      </c>
      <c r="N49" s="2">
        <v>0.88700000000000001</v>
      </c>
      <c r="O49" s="2">
        <v>122.2</v>
      </c>
      <c r="P49" s="2">
        <v>187</v>
      </c>
      <c r="Q49" s="2">
        <v>25.2</v>
      </c>
      <c r="R49" s="2">
        <v>28.9</v>
      </c>
      <c r="S49" s="2">
        <v>3.7</v>
      </c>
      <c r="T49" s="2">
        <v>138.47</v>
      </c>
      <c r="U49" s="2">
        <v>342.8</v>
      </c>
      <c r="V49" s="2">
        <v>424.5</v>
      </c>
      <c r="W49" s="2">
        <v>0.08</v>
      </c>
      <c r="X49" s="2" t="s">
        <v>168</v>
      </c>
    </row>
    <row r="50" spans="1:24" x14ac:dyDescent="0.3">
      <c r="A50" s="2" cm="1">
        <f t="array" ref="A50">CountByColumnLogic(C50:X50)</f>
        <v>19</v>
      </c>
      <c r="B50" t="s">
        <v>70</v>
      </c>
      <c r="C50" s="2">
        <v>-11.7</v>
      </c>
      <c r="D50" s="2">
        <v>118</v>
      </c>
      <c r="E50" s="2">
        <v>32.1</v>
      </c>
      <c r="F50" s="2">
        <v>105</v>
      </c>
      <c r="G50" s="2">
        <v>104</v>
      </c>
      <c r="H50" s="2">
        <v>0.373</v>
      </c>
      <c r="I50" s="2">
        <v>0.40400000000000003</v>
      </c>
      <c r="J50" s="2">
        <v>8</v>
      </c>
      <c r="K50" s="2">
        <v>268.2</v>
      </c>
      <c r="L50" s="2">
        <v>211.3</v>
      </c>
      <c r="M50" s="2">
        <v>0.86399999999999999</v>
      </c>
      <c r="N50" s="2">
        <v>0.83299999999999996</v>
      </c>
      <c r="O50" s="2">
        <v>165.7</v>
      </c>
      <c r="P50" s="2">
        <v>97.7</v>
      </c>
      <c r="Q50" s="2">
        <v>26</v>
      </c>
      <c r="R50" s="2">
        <v>22.3</v>
      </c>
      <c r="S50" s="2">
        <v>-3.7</v>
      </c>
      <c r="T50" s="2">
        <v>126.84</v>
      </c>
      <c r="U50" s="2">
        <v>376.9</v>
      </c>
      <c r="V50" s="2">
        <v>365.8</v>
      </c>
      <c r="W50" s="2">
        <v>-0.67</v>
      </c>
      <c r="X50" s="2" t="s">
        <v>168</v>
      </c>
    </row>
    <row r="51" spans="1:24" x14ac:dyDescent="0.3">
      <c r="A51" s="2" cm="1">
        <f t="array" ref="A51">CountByColumnLogic(C51:X51)</f>
        <v>16</v>
      </c>
      <c r="B51" t="s">
        <v>71</v>
      </c>
      <c r="C51" s="2">
        <v>-3.2</v>
      </c>
      <c r="D51" s="2">
        <v>50</v>
      </c>
      <c r="E51" s="2">
        <v>43.4</v>
      </c>
      <c r="F51" s="2">
        <v>121</v>
      </c>
      <c r="G51" s="2">
        <v>32</v>
      </c>
      <c r="H51" s="2">
        <v>0.27900000000000003</v>
      </c>
      <c r="I51" s="2">
        <v>0.36699999999999999</v>
      </c>
      <c r="J51" s="2">
        <v>5.5</v>
      </c>
      <c r="K51" s="2">
        <v>152.69999999999999</v>
      </c>
      <c r="L51" s="2">
        <v>188.8</v>
      </c>
      <c r="M51" s="2">
        <v>0.82899999999999996</v>
      </c>
      <c r="N51" s="2">
        <v>0.6</v>
      </c>
      <c r="O51" s="2">
        <v>135.9</v>
      </c>
      <c r="P51" s="2">
        <v>135.4</v>
      </c>
      <c r="Q51" s="2">
        <v>22.9</v>
      </c>
      <c r="R51" s="2">
        <v>14</v>
      </c>
      <c r="S51" s="2">
        <v>-8.9</v>
      </c>
      <c r="T51" s="2">
        <v>118.42</v>
      </c>
      <c r="U51" s="2">
        <v>324.8</v>
      </c>
      <c r="V51" s="2">
        <v>288.10000000000002</v>
      </c>
      <c r="W51" s="2">
        <v>-0.67</v>
      </c>
      <c r="X51" s="2" t="s">
        <v>168</v>
      </c>
    </row>
    <row r="52" spans="1:24" x14ac:dyDescent="0.3">
      <c r="A52" s="2" cm="1">
        <f t="array" ref="A52">CountByColumnLogic(C52:X52)</f>
        <v>13</v>
      </c>
      <c r="B52" t="s">
        <v>72</v>
      </c>
      <c r="C52" s="2">
        <v>6.5</v>
      </c>
      <c r="D52" s="2">
        <v>30</v>
      </c>
      <c r="E52" s="2">
        <v>65.900000000000006</v>
      </c>
      <c r="F52" s="2">
        <v>26</v>
      </c>
      <c r="G52" s="2">
        <v>62</v>
      </c>
      <c r="H52" s="2">
        <v>0.46500000000000002</v>
      </c>
      <c r="I52" s="2">
        <v>0.44900000000000001</v>
      </c>
      <c r="J52" s="2">
        <v>5.23</v>
      </c>
      <c r="K52" s="2">
        <v>211.2</v>
      </c>
      <c r="L52" s="2">
        <v>224.8</v>
      </c>
      <c r="M52" s="2">
        <v>0.83</v>
      </c>
      <c r="N52" s="2">
        <v>0.86299999999999999</v>
      </c>
      <c r="O52" s="2">
        <v>148.4</v>
      </c>
      <c r="P52" s="2">
        <v>153.6</v>
      </c>
      <c r="Q52" s="2">
        <v>21.7</v>
      </c>
      <c r="R52" s="2">
        <v>28.3</v>
      </c>
      <c r="S52" s="2">
        <v>6.6</v>
      </c>
      <c r="T52" s="2">
        <v>142.85</v>
      </c>
      <c r="U52" s="2">
        <v>373.2</v>
      </c>
      <c r="V52" s="2">
        <v>364.8</v>
      </c>
      <c r="W52" s="2">
        <v>0.46</v>
      </c>
      <c r="X52" s="2" t="s">
        <v>168</v>
      </c>
    </row>
    <row r="53" spans="1:24" x14ac:dyDescent="0.3">
      <c r="A53" s="2" cm="1">
        <f t="array" ref="A53">CountByColumnLogic(C53:X53)</f>
        <v>5</v>
      </c>
      <c r="B53" t="s">
        <v>73</v>
      </c>
      <c r="C53" s="2">
        <v>19.399999999999999</v>
      </c>
      <c r="D53" s="2">
        <v>35</v>
      </c>
      <c r="E53" s="2">
        <v>82.7</v>
      </c>
      <c r="F53" s="2">
        <v>4</v>
      </c>
      <c r="G53" s="2">
        <v>20</v>
      </c>
      <c r="H53" s="2">
        <v>0.47199999999999998</v>
      </c>
      <c r="I53" s="2">
        <v>0.32700000000000001</v>
      </c>
      <c r="J53" s="2">
        <v>4.7699999999999996</v>
      </c>
      <c r="K53" s="2">
        <v>261.3</v>
      </c>
      <c r="L53" s="2">
        <v>176.1</v>
      </c>
      <c r="M53" s="2">
        <v>0.81299999999999994</v>
      </c>
      <c r="N53" s="2">
        <v>0.92800000000000005</v>
      </c>
      <c r="O53" s="2">
        <v>80.2</v>
      </c>
      <c r="P53" s="2">
        <v>165.1</v>
      </c>
      <c r="Q53" s="2">
        <v>15.6</v>
      </c>
      <c r="R53" s="2">
        <v>41.3</v>
      </c>
      <c r="S53" s="2">
        <v>25.7</v>
      </c>
      <c r="T53" s="2">
        <v>174.03</v>
      </c>
      <c r="U53" s="2">
        <v>256.3</v>
      </c>
      <c r="V53" s="2">
        <v>426.4</v>
      </c>
      <c r="W53" s="2">
        <v>1.1499999999999999</v>
      </c>
      <c r="X53" s="2" t="s">
        <v>168</v>
      </c>
    </row>
    <row r="54" spans="1:24" x14ac:dyDescent="0.3">
      <c r="A54" s="2" cm="1">
        <f t="array" ref="A54">CountByColumnLogic(C54:X54)</f>
        <v>10</v>
      </c>
      <c r="B54" t="s">
        <v>74</v>
      </c>
      <c r="C54" s="2">
        <v>11.5</v>
      </c>
      <c r="D54" s="2">
        <v>38</v>
      </c>
      <c r="E54" s="2">
        <v>69.900000000000006</v>
      </c>
      <c r="F54" s="2">
        <v>65</v>
      </c>
      <c r="G54" s="2">
        <v>16</v>
      </c>
      <c r="H54" s="2">
        <v>0.41299999999999998</v>
      </c>
      <c r="I54" s="2">
        <v>0.36399999999999999</v>
      </c>
      <c r="J54" s="2">
        <v>3.15</v>
      </c>
      <c r="K54" s="2">
        <v>131.6</v>
      </c>
      <c r="L54" s="2">
        <v>203.1</v>
      </c>
      <c r="M54" s="2">
        <v>0.81299999999999994</v>
      </c>
      <c r="N54" s="2">
        <v>0.90200000000000002</v>
      </c>
      <c r="O54" s="2">
        <v>115.3</v>
      </c>
      <c r="P54" s="2">
        <v>197.2</v>
      </c>
      <c r="Q54" s="2">
        <v>17.8</v>
      </c>
      <c r="R54" s="2">
        <v>27.7</v>
      </c>
      <c r="S54" s="2">
        <v>9.9</v>
      </c>
      <c r="T54" s="2">
        <v>124.51</v>
      </c>
      <c r="U54" s="2">
        <v>318.39999999999998</v>
      </c>
      <c r="V54" s="2">
        <v>328.8</v>
      </c>
      <c r="W54" s="2">
        <v>0.92</v>
      </c>
      <c r="X54" s="2">
        <v>25</v>
      </c>
    </row>
    <row r="55" spans="1:24" x14ac:dyDescent="0.3">
      <c r="A55" s="2" cm="1">
        <f t="array" ref="A55">CountByColumnLogic(C55:X55)</f>
        <v>15</v>
      </c>
      <c r="B55" t="s">
        <v>75</v>
      </c>
      <c r="C55" s="2">
        <v>10.6</v>
      </c>
      <c r="D55" s="2">
        <v>42</v>
      </c>
      <c r="E55" s="2">
        <v>67.099999999999994</v>
      </c>
      <c r="F55" s="2">
        <v>32</v>
      </c>
      <c r="G55" s="2">
        <v>44</v>
      </c>
      <c r="H55" s="2">
        <v>0.42699999999999999</v>
      </c>
      <c r="I55" s="2">
        <v>0.39700000000000002</v>
      </c>
      <c r="J55" s="2">
        <v>3.79</v>
      </c>
      <c r="K55" s="2">
        <v>255.7</v>
      </c>
      <c r="L55" s="2">
        <v>165.6</v>
      </c>
      <c r="M55" s="2">
        <v>0.88600000000000001</v>
      </c>
      <c r="N55" s="2">
        <v>0.873</v>
      </c>
      <c r="O55" s="2">
        <v>188.4</v>
      </c>
      <c r="P55" s="2">
        <v>160.5</v>
      </c>
      <c r="Q55" s="2">
        <v>22.9</v>
      </c>
      <c r="R55" s="2">
        <v>31.1</v>
      </c>
      <c r="S55" s="2">
        <v>8.1999999999999993</v>
      </c>
      <c r="T55" s="2">
        <v>135.35</v>
      </c>
      <c r="U55" s="2">
        <v>353.9</v>
      </c>
      <c r="V55" s="2">
        <v>416.2</v>
      </c>
      <c r="W55" s="2">
        <v>0.64</v>
      </c>
      <c r="X55" s="2" t="s">
        <v>168</v>
      </c>
    </row>
    <row r="56" spans="1:24" x14ac:dyDescent="0.3">
      <c r="A56" s="2" cm="1">
        <f t="array" ref="A56">CountByColumnLogic(C56:X56)</f>
        <v>13</v>
      </c>
      <c r="B56" t="s">
        <v>76</v>
      </c>
      <c r="C56" s="2">
        <v>-1.3</v>
      </c>
      <c r="D56" s="2">
        <v>113</v>
      </c>
      <c r="E56" s="2">
        <v>44.8</v>
      </c>
      <c r="F56" s="2">
        <v>52</v>
      </c>
      <c r="G56" s="2">
        <v>98</v>
      </c>
      <c r="H56" s="2">
        <v>0.40799999999999997</v>
      </c>
      <c r="I56" s="2">
        <v>0.42099999999999999</v>
      </c>
      <c r="J56" s="2">
        <v>5.93</v>
      </c>
      <c r="K56" s="2">
        <v>190.4</v>
      </c>
      <c r="L56" s="2">
        <v>218.2</v>
      </c>
      <c r="M56" s="2">
        <v>0.72899999999999998</v>
      </c>
      <c r="N56" s="2">
        <v>0.875</v>
      </c>
      <c r="O56" s="2">
        <v>174.8</v>
      </c>
      <c r="P56" s="2">
        <v>251.2</v>
      </c>
      <c r="Q56" s="2">
        <v>26.1</v>
      </c>
      <c r="R56" s="2">
        <v>36</v>
      </c>
      <c r="S56" s="2">
        <v>9.9</v>
      </c>
      <c r="T56" s="2">
        <v>141.77000000000001</v>
      </c>
      <c r="U56" s="2">
        <v>393</v>
      </c>
      <c r="V56" s="2">
        <v>441.6</v>
      </c>
      <c r="W56" s="2">
        <v>0.64</v>
      </c>
      <c r="X56" s="2" t="s">
        <v>168</v>
      </c>
    </row>
    <row r="57" spans="1:24" x14ac:dyDescent="0.3">
      <c r="A57" s="2" cm="1">
        <f t="array" ref="A57">CountByColumnLogic(C57:X57)</f>
        <v>9</v>
      </c>
      <c r="B57" t="s">
        <v>77</v>
      </c>
      <c r="C57" s="2">
        <v>2.7</v>
      </c>
      <c r="D57" s="2">
        <v>129</v>
      </c>
      <c r="E57" s="2">
        <v>51.9</v>
      </c>
      <c r="F57" s="2">
        <v>88</v>
      </c>
      <c r="G57" s="2">
        <v>39</v>
      </c>
      <c r="H57" s="2">
        <v>0.41099999999999998</v>
      </c>
      <c r="I57" s="2">
        <v>0.32300000000000001</v>
      </c>
      <c r="J57" s="2">
        <v>7</v>
      </c>
      <c r="K57" s="2">
        <v>216.1</v>
      </c>
      <c r="L57" s="2">
        <v>206.5</v>
      </c>
      <c r="M57" s="2">
        <v>0.79400000000000004</v>
      </c>
      <c r="N57" s="2">
        <v>0.86</v>
      </c>
      <c r="O57" s="2">
        <v>115.4</v>
      </c>
      <c r="P57" s="2">
        <v>191.5</v>
      </c>
      <c r="Q57" s="2">
        <v>20.5</v>
      </c>
      <c r="R57" s="2">
        <v>33.299999999999997</v>
      </c>
      <c r="S57" s="2">
        <v>12.8</v>
      </c>
      <c r="T57" s="2">
        <v>144.6</v>
      </c>
      <c r="U57" s="2">
        <v>321.8</v>
      </c>
      <c r="V57" s="2">
        <v>407.6</v>
      </c>
      <c r="W57" s="2">
        <v>1.54</v>
      </c>
      <c r="X57" s="2" t="s">
        <v>168</v>
      </c>
    </row>
    <row r="58" spans="1:24" x14ac:dyDescent="0.3">
      <c r="A58" s="2" cm="1">
        <f t="array" ref="A58">CountByColumnLogic(C58:X58)</f>
        <v>12</v>
      </c>
      <c r="B58" t="s">
        <v>78</v>
      </c>
      <c r="C58" s="2">
        <v>9.1</v>
      </c>
      <c r="D58" s="2">
        <v>43</v>
      </c>
      <c r="E58" s="2">
        <v>66.900000000000006</v>
      </c>
      <c r="F58" s="2">
        <v>16</v>
      </c>
      <c r="G58" s="2">
        <v>65</v>
      </c>
      <c r="H58" s="2">
        <v>0.51</v>
      </c>
      <c r="I58" s="2">
        <v>0.441</v>
      </c>
      <c r="J58" s="2">
        <v>4.5</v>
      </c>
      <c r="K58" s="2">
        <v>208.8</v>
      </c>
      <c r="L58" s="2">
        <v>239.1</v>
      </c>
      <c r="M58" s="2">
        <v>0.8</v>
      </c>
      <c r="N58" s="2">
        <v>0.89400000000000002</v>
      </c>
      <c r="O58" s="2">
        <v>153.5</v>
      </c>
      <c r="P58" s="2">
        <v>211.4</v>
      </c>
      <c r="Q58" s="2">
        <v>26</v>
      </c>
      <c r="R58" s="2">
        <v>29.7</v>
      </c>
      <c r="S58" s="2">
        <v>3.7</v>
      </c>
      <c r="T58" s="2">
        <v>134.61000000000001</v>
      </c>
      <c r="U58" s="2">
        <v>392.6</v>
      </c>
      <c r="V58" s="2">
        <v>420.2</v>
      </c>
      <c r="W58" s="2">
        <v>0</v>
      </c>
      <c r="X58" s="2">
        <v>22</v>
      </c>
    </row>
    <row r="59" spans="1:24" x14ac:dyDescent="0.3">
      <c r="A59" s="2" cm="1">
        <f t="array" ref="A59">CountByColumnLogic(C59:X59)</f>
        <v>12</v>
      </c>
      <c r="B59" t="s">
        <v>79</v>
      </c>
      <c r="C59" s="2">
        <v>11</v>
      </c>
      <c r="D59" s="2">
        <v>51</v>
      </c>
      <c r="E59" s="2">
        <v>69.2</v>
      </c>
      <c r="F59" s="2">
        <v>36</v>
      </c>
      <c r="G59" s="2">
        <v>27</v>
      </c>
      <c r="H59" s="2">
        <v>0.41199999999999998</v>
      </c>
      <c r="I59" s="2">
        <v>0.38</v>
      </c>
      <c r="J59" s="2">
        <v>5.46</v>
      </c>
      <c r="K59" s="2">
        <v>211.4</v>
      </c>
      <c r="L59" s="2">
        <v>224.7</v>
      </c>
      <c r="M59" s="2">
        <v>0.83299999999999996</v>
      </c>
      <c r="N59" s="2">
        <v>0.875</v>
      </c>
      <c r="O59" s="2">
        <v>118.7</v>
      </c>
      <c r="P59" s="2">
        <v>215.5</v>
      </c>
      <c r="Q59" s="2">
        <v>23.4</v>
      </c>
      <c r="R59" s="2">
        <v>30.8</v>
      </c>
      <c r="S59" s="2">
        <v>7.4</v>
      </c>
      <c r="T59" s="2">
        <v>134.55000000000001</v>
      </c>
      <c r="U59" s="2">
        <v>343.4</v>
      </c>
      <c r="V59" s="2">
        <v>426.8</v>
      </c>
      <c r="W59" s="2">
        <v>-0.08</v>
      </c>
      <c r="X59" s="2">
        <v>18</v>
      </c>
    </row>
    <row r="60" spans="1:24" x14ac:dyDescent="0.3">
      <c r="A60" s="2" cm="1">
        <f t="array" ref="A60">CountByColumnLogic(C60:X60)</f>
        <v>19</v>
      </c>
      <c r="B60" t="s">
        <v>80</v>
      </c>
      <c r="C60" s="2">
        <v>-21.7</v>
      </c>
      <c r="D60" s="2">
        <v>133</v>
      </c>
      <c r="E60" s="2">
        <v>13.9</v>
      </c>
      <c r="F60" s="2">
        <v>133</v>
      </c>
      <c r="G60" s="2">
        <v>123</v>
      </c>
      <c r="H60" s="2">
        <v>0.35699999999999998</v>
      </c>
      <c r="I60" s="2">
        <v>0.41199999999999998</v>
      </c>
      <c r="J60" s="2">
        <v>5.58</v>
      </c>
      <c r="K60" s="2">
        <v>136.30000000000001</v>
      </c>
      <c r="L60" s="2">
        <v>236.8</v>
      </c>
      <c r="M60" s="2">
        <v>0.84599999999999997</v>
      </c>
      <c r="N60" s="2">
        <v>0.83299999999999996</v>
      </c>
      <c r="O60" s="2">
        <v>175.9</v>
      </c>
      <c r="P60" s="2">
        <v>114.6</v>
      </c>
      <c r="Q60" s="2">
        <v>31.2</v>
      </c>
      <c r="R60" s="2">
        <v>16.5</v>
      </c>
      <c r="S60" s="2">
        <v>-14.7</v>
      </c>
      <c r="T60" s="2">
        <v>96.04</v>
      </c>
      <c r="U60" s="2">
        <v>412.7</v>
      </c>
      <c r="V60" s="2">
        <v>250.9</v>
      </c>
      <c r="W60" s="2">
        <v>-0.5</v>
      </c>
      <c r="X60" s="2" t="s">
        <v>168</v>
      </c>
    </row>
    <row r="61" spans="1:24" x14ac:dyDescent="0.3">
      <c r="A61" s="2" cm="1">
        <f t="array" ref="A61">CountByColumnLogic(C61:X61)</f>
        <v>21</v>
      </c>
      <c r="B61" t="s">
        <v>81</v>
      </c>
      <c r="C61" s="2">
        <v>-30.8</v>
      </c>
      <c r="D61" s="2">
        <v>59</v>
      </c>
      <c r="E61" s="2">
        <v>4.5</v>
      </c>
      <c r="F61" s="2">
        <v>134</v>
      </c>
      <c r="G61" s="2">
        <v>134</v>
      </c>
      <c r="H61" s="2">
        <v>0.188</v>
      </c>
      <c r="I61" s="2">
        <v>0.47899999999999998</v>
      </c>
      <c r="J61" s="2">
        <v>4.92</v>
      </c>
      <c r="K61" s="2">
        <v>156.30000000000001</v>
      </c>
      <c r="L61" s="2">
        <v>251.1</v>
      </c>
      <c r="M61" s="2">
        <v>0.90600000000000003</v>
      </c>
      <c r="N61" s="2">
        <v>0.76500000000000001</v>
      </c>
      <c r="O61" s="2">
        <v>264.89999999999998</v>
      </c>
      <c r="P61" s="2">
        <v>76.900000000000006</v>
      </c>
      <c r="Q61" s="2">
        <v>44.1</v>
      </c>
      <c r="R61" s="2">
        <v>13.9</v>
      </c>
      <c r="S61" s="2">
        <v>-30.2</v>
      </c>
      <c r="T61" s="2">
        <v>112.24</v>
      </c>
      <c r="U61" s="2">
        <v>516</v>
      </c>
      <c r="V61" s="2">
        <v>233.3</v>
      </c>
      <c r="W61" s="2">
        <v>-0.75</v>
      </c>
      <c r="X61" s="2" t="s">
        <v>168</v>
      </c>
    </row>
    <row r="62" spans="1:24" x14ac:dyDescent="0.3">
      <c r="A62" s="2" cm="1">
        <f t="array" ref="A62">CountByColumnLogic(C62:X62)</f>
        <v>17</v>
      </c>
      <c r="B62" t="s">
        <v>82</v>
      </c>
      <c r="C62" s="2">
        <v>4.7</v>
      </c>
      <c r="D62" s="2">
        <v>8</v>
      </c>
      <c r="E62" s="2">
        <v>54</v>
      </c>
      <c r="F62" s="2">
        <v>86</v>
      </c>
      <c r="G62" s="2">
        <v>42</v>
      </c>
      <c r="H62" s="2">
        <v>0.33800000000000002</v>
      </c>
      <c r="I62" s="2">
        <v>0.40100000000000002</v>
      </c>
      <c r="J62" s="2">
        <v>6.25</v>
      </c>
      <c r="K62" s="2">
        <v>184.8</v>
      </c>
      <c r="L62" s="2">
        <v>183.7</v>
      </c>
      <c r="M62" s="2">
        <v>0.70799999999999996</v>
      </c>
      <c r="N62" s="2">
        <v>0.79400000000000004</v>
      </c>
      <c r="O62" s="2">
        <v>161.80000000000001</v>
      </c>
      <c r="P62" s="2">
        <v>145.6</v>
      </c>
      <c r="Q62" s="2">
        <v>22.1</v>
      </c>
      <c r="R62" s="2">
        <v>20.6</v>
      </c>
      <c r="S62" s="2">
        <v>-1.5</v>
      </c>
      <c r="T62" s="2">
        <v>118.21</v>
      </c>
      <c r="U62" s="2">
        <v>345.5</v>
      </c>
      <c r="V62" s="2">
        <v>330.4</v>
      </c>
      <c r="W62" s="2">
        <v>-0.57999999999999996</v>
      </c>
      <c r="X62" s="2" t="s">
        <v>168</v>
      </c>
    </row>
    <row r="63" spans="1:24" x14ac:dyDescent="0.3">
      <c r="A63" s="2" cm="1">
        <f t="array" ref="A63">CountByColumnLogic(C63:X63)</f>
        <v>14</v>
      </c>
      <c r="B63" t="s">
        <v>83</v>
      </c>
      <c r="C63" s="2">
        <v>-8.3000000000000007</v>
      </c>
      <c r="D63" s="2">
        <v>134</v>
      </c>
      <c r="E63" s="2">
        <v>32.5</v>
      </c>
      <c r="F63" s="2">
        <v>89</v>
      </c>
      <c r="G63" s="2">
        <v>107</v>
      </c>
      <c r="H63" s="2">
        <v>0.433</v>
      </c>
      <c r="I63" s="2">
        <v>0.36799999999999999</v>
      </c>
      <c r="J63" s="2">
        <v>6.83</v>
      </c>
      <c r="K63" s="2">
        <v>167.8</v>
      </c>
      <c r="L63" s="2">
        <v>196.3</v>
      </c>
      <c r="M63" s="2">
        <v>0.76100000000000001</v>
      </c>
      <c r="N63" s="2">
        <v>0.82399999999999995</v>
      </c>
      <c r="O63" s="2">
        <v>154.1</v>
      </c>
      <c r="P63" s="2">
        <v>250.7</v>
      </c>
      <c r="Q63" s="2">
        <v>23.5</v>
      </c>
      <c r="R63" s="2">
        <v>28.8</v>
      </c>
      <c r="S63" s="2">
        <v>5.3</v>
      </c>
      <c r="T63" s="2">
        <v>126.29</v>
      </c>
      <c r="U63" s="2">
        <v>350.4</v>
      </c>
      <c r="V63" s="2">
        <v>418.5</v>
      </c>
      <c r="W63" s="2">
        <v>-0.25</v>
      </c>
      <c r="X63" s="2" t="s">
        <v>168</v>
      </c>
    </row>
    <row r="64" spans="1:24" x14ac:dyDescent="0.3">
      <c r="A64" s="2" cm="1">
        <f t="array" ref="A64">CountByColumnLogic(C64:X64)</f>
        <v>13</v>
      </c>
      <c r="B64" t="s">
        <v>84</v>
      </c>
      <c r="C64" s="2">
        <v>-1.6</v>
      </c>
      <c r="D64" s="2">
        <v>110</v>
      </c>
      <c r="E64" s="2">
        <v>52.9</v>
      </c>
      <c r="F64" s="2">
        <v>38</v>
      </c>
      <c r="G64" s="2">
        <v>99</v>
      </c>
      <c r="H64" s="2">
        <v>0.42399999999999999</v>
      </c>
      <c r="I64" s="2">
        <v>0.44700000000000001</v>
      </c>
      <c r="J64" s="2">
        <v>5.86</v>
      </c>
      <c r="K64" s="2">
        <v>248.7</v>
      </c>
      <c r="L64" s="2">
        <v>194.2</v>
      </c>
      <c r="M64" s="2">
        <v>1</v>
      </c>
      <c r="N64" s="2">
        <v>0.91700000000000004</v>
      </c>
      <c r="O64" s="2">
        <v>154.19999999999999</v>
      </c>
      <c r="P64" s="2">
        <v>166.4</v>
      </c>
      <c r="Q64" s="2">
        <v>24.1</v>
      </c>
      <c r="R64" s="2">
        <v>30.9</v>
      </c>
      <c r="S64" s="2">
        <v>6.8</v>
      </c>
      <c r="T64" s="2">
        <v>149.54</v>
      </c>
      <c r="U64" s="2">
        <v>348.4</v>
      </c>
      <c r="V64" s="2">
        <v>415.1</v>
      </c>
      <c r="W64" s="2">
        <v>0.71</v>
      </c>
      <c r="X64" s="2" t="s">
        <v>168</v>
      </c>
    </row>
    <row r="65" spans="1:24" x14ac:dyDescent="0.3">
      <c r="A65" s="2" cm="1">
        <f t="array" ref="A65">CountByColumnLogic(C65:X65)</f>
        <v>13</v>
      </c>
      <c r="B65" t="s">
        <v>85</v>
      </c>
      <c r="C65" s="2">
        <v>-11</v>
      </c>
      <c r="D65" s="2">
        <v>120</v>
      </c>
      <c r="E65" s="2">
        <v>31.4</v>
      </c>
      <c r="F65" s="2">
        <v>128</v>
      </c>
      <c r="G65" s="2">
        <v>61</v>
      </c>
      <c r="H65" s="2">
        <v>0.39200000000000002</v>
      </c>
      <c r="I65" s="2">
        <v>0.33700000000000002</v>
      </c>
      <c r="J65" s="2">
        <v>5.31</v>
      </c>
      <c r="K65" s="2">
        <v>223.7</v>
      </c>
      <c r="L65" s="2">
        <v>172.8</v>
      </c>
      <c r="M65" s="2">
        <v>0.75</v>
      </c>
      <c r="N65" s="2">
        <v>0.72899999999999998</v>
      </c>
      <c r="O65" s="2">
        <v>135.5</v>
      </c>
      <c r="P65" s="2">
        <v>109.2</v>
      </c>
      <c r="Q65" s="2">
        <v>21</v>
      </c>
      <c r="R65" s="2">
        <v>20.9</v>
      </c>
      <c r="S65" s="2">
        <v>-0.1</v>
      </c>
      <c r="T65" s="2">
        <v>131.63999999999999</v>
      </c>
      <c r="U65" s="2">
        <v>308.39999999999998</v>
      </c>
      <c r="V65" s="2">
        <v>332.9</v>
      </c>
      <c r="W65" s="2">
        <v>-0.38</v>
      </c>
      <c r="X65" s="2" t="s">
        <v>168</v>
      </c>
    </row>
    <row r="66" spans="1:24" x14ac:dyDescent="0.3">
      <c r="A66" s="2" cm="1">
        <f t="array" ref="A66">CountByColumnLogic(C66:X66)</f>
        <v>8</v>
      </c>
      <c r="B66" t="s">
        <v>86</v>
      </c>
      <c r="C66" s="2">
        <v>15.6</v>
      </c>
      <c r="D66" s="2">
        <v>31</v>
      </c>
      <c r="E66" s="2">
        <v>77.099999999999994</v>
      </c>
      <c r="F66" s="2">
        <v>10</v>
      </c>
      <c r="G66" s="2">
        <v>36</v>
      </c>
      <c r="H66" s="2">
        <v>0.4</v>
      </c>
      <c r="I66" s="2">
        <v>0.35799999999999998</v>
      </c>
      <c r="J66" s="2">
        <v>6.23</v>
      </c>
      <c r="K66" s="2">
        <v>264.10000000000002</v>
      </c>
      <c r="L66" s="2">
        <v>236.2</v>
      </c>
      <c r="M66" s="2">
        <v>0.82899999999999996</v>
      </c>
      <c r="N66" s="2">
        <v>0.81799999999999995</v>
      </c>
      <c r="O66" s="2">
        <v>132.5</v>
      </c>
      <c r="P66" s="2">
        <v>185.2</v>
      </c>
      <c r="Q66" s="2">
        <v>24.1</v>
      </c>
      <c r="R66" s="2">
        <v>36.5</v>
      </c>
      <c r="S66" s="2">
        <v>12.4</v>
      </c>
      <c r="T66" s="2">
        <v>148.28</v>
      </c>
      <c r="U66" s="2">
        <v>368.7</v>
      </c>
      <c r="V66" s="2">
        <v>449.2</v>
      </c>
      <c r="W66" s="2">
        <v>0.46</v>
      </c>
      <c r="X66" s="2" t="s">
        <v>168</v>
      </c>
    </row>
    <row r="67" spans="1:24" x14ac:dyDescent="0.3">
      <c r="A67" s="2" cm="1">
        <f t="array" ref="A67">CountByColumnLogic(C67:X67)</f>
        <v>12</v>
      </c>
      <c r="B67" t="s">
        <v>87</v>
      </c>
      <c r="C67" s="2">
        <v>14</v>
      </c>
      <c r="D67" s="2">
        <v>14</v>
      </c>
      <c r="E67" s="2">
        <v>73.2</v>
      </c>
      <c r="F67" s="2">
        <v>14</v>
      </c>
      <c r="G67" s="2">
        <v>37</v>
      </c>
      <c r="H67" s="2">
        <v>0.49199999999999999</v>
      </c>
      <c r="I67" s="2">
        <v>0.41</v>
      </c>
      <c r="J67" s="2">
        <v>6.31</v>
      </c>
      <c r="K67" s="2">
        <v>315.2</v>
      </c>
      <c r="L67" s="2">
        <v>224.3</v>
      </c>
      <c r="M67" s="2">
        <v>0.75600000000000001</v>
      </c>
      <c r="N67" s="2">
        <v>0.83</v>
      </c>
      <c r="O67" s="2">
        <v>140.1</v>
      </c>
      <c r="P67" s="2">
        <v>116.4</v>
      </c>
      <c r="Q67" s="2">
        <v>24.3</v>
      </c>
      <c r="R67" s="2">
        <v>30.5</v>
      </c>
      <c r="S67" s="2">
        <v>6.2</v>
      </c>
      <c r="T67" s="2">
        <v>142.29</v>
      </c>
      <c r="U67" s="2">
        <v>364.4</v>
      </c>
      <c r="V67" s="2">
        <v>431.5</v>
      </c>
      <c r="W67" s="2">
        <v>-0.23</v>
      </c>
      <c r="X67" s="2">
        <v>13</v>
      </c>
    </row>
    <row r="68" spans="1:24" x14ac:dyDescent="0.3">
      <c r="A68" s="2" cm="1">
        <f t="array" ref="A68">CountByColumnLogic(C68:X68)</f>
        <v>14</v>
      </c>
      <c r="B68" t="s">
        <v>88</v>
      </c>
      <c r="C68" s="2">
        <v>2.7</v>
      </c>
      <c r="D68" s="2">
        <v>64</v>
      </c>
      <c r="E68" s="2">
        <v>59.4</v>
      </c>
      <c r="F68" s="2">
        <v>55</v>
      </c>
      <c r="G68" s="2">
        <v>57</v>
      </c>
      <c r="H68" s="2">
        <v>0.39600000000000002</v>
      </c>
      <c r="I68" s="2">
        <v>0.316</v>
      </c>
      <c r="J68" s="2">
        <v>5.38</v>
      </c>
      <c r="K68" s="2">
        <v>181.1</v>
      </c>
      <c r="L68" s="2">
        <v>199.1</v>
      </c>
      <c r="M68" s="2">
        <v>0.78900000000000003</v>
      </c>
      <c r="N68" s="2">
        <v>0.82</v>
      </c>
      <c r="O68" s="2">
        <v>179</v>
      </c>
      <c r="P68" s="2">
        <v>201.7</v>
      </c>
      <c r="Q68" s="2">
        <v>23.1</v>
      </c>
      <c r="R68" s="2">
        <v>31.8</v>
      </c>
      <c r="S68" s="2">
        <v>8.6999999999999993</v>
      </c>
      <c r="T68" s="2">
        <v>141.99</v>
      </c>
      <c r="U68" s="2">
        <v>378.1</v>
      </c>
      <c r="V68" s="2">
        <v>382.8</v>
      </c>
      <c r="W68" s="2">
        <v>0.77</v>
      </c>
      <c r="X68" s="2" t="s">
        <v>168</v>
      </c>
    </row>
    <row r="69" spans="1:24" x14ac:dyDescent="0.3">
      <c r="A69" s="2" cm="1">
        <f t="array" ref="A69">CountByColumnLogic(C69:X69)</f>
        <v>16</v>
      </c>
      <c r="B69" t="s">
        <v>89</v>
      </c>
      <c r="C69" s="2">
        <v>-0.1</v>
      </c>
      <c r="D69" s="2">
        <v>22</v>
      </c>
      <c r="E69" s="2">
        <v>43</v>
      </c>
      <c r="F69" s="2">
        <v>70</v>
      </c>
      <c r="G69" s="2">
        <v>80</v>
      </c>
      <c r="H69" s="2">
        <v>0.40200000000000002</v>
      </c>
      <c r="I69" s="2">
        <v>0.40100000000000002</v>
      </c>
      <c r="J69" s="2">
        <v>6.42</v>
      </c>
      <c r="K69" s="2">
        <v>275.7</v>
      </c>
      <c r="L69" s="2">
        <v>241.3</v>
      </c>
      <c r="M69" s="2">
        <v>0.85699999999999998</v>
      </c>
      <c r="N69" s="2">
        <v>0.83299999999999996</v>
      </c>
      <c r="O69" s="2">
        <v>136.80000000000001</v>
      </c>
      <c r="P69" s="2">
        <v>110.4</v>
      </c>
      <c r="Q69" s="2">
        <v>30.4</v>
      </c>
      <c r="R69" s="2">
        <v>23.7</v>
      </c>
      <c r="S69" s="2">
        <v>-6.7</v>
      </c>
      <c r="T69" s="2">
        <v>128.37</v>
      </c>
      <c r="U69" s="2">
        <v>378.1</v>
      </c>
      <c r="V69" s="2">
        <v>386.1</v>
      </c>
      <c r="W69" s="2">
        <v>-0.25</v>
      </c>
      <c r="X69" s="2" t="s">
        <v>168</v>
      </c>
    </row>
    <row r="70" spans="1:24" x14ac:dyDescent="0.3">
      <c r="A70" s="2" cm="1">
        <f t="array" ref="A70">CountByColumnLogic(C70:X70)</f>
        <v>20</v>
      </c>
      <c r="B70" t="s">
        <v>90</v>
      </c>
      <c r="C70" s="2">
        <v>-17</v>
      </c>
      <c r="D70" s="2">
        <v>84</v>
      </c>
      <c r="E70" s="2">
        <v>21.2</v>
      </c>
      <c r="F70" s="2">
        <v>71</v>
      </c>
      <c r="G70" s="2">
        <v>131</v>
      </c>
      <c r="H70" s="2">
        <v>0.38600000000000001</v>
      </c>
      <c r="I70" s="2">
        <v>0.45700000000000002</v>
      </c>
      <c r="J70" s="2">
        <v>7.25</v>
      </c>
      <c r="K70" s="2">
        <v>181.8</v>
      </c>
      <c r="L70" s="2">
        <v>176.6</v>
      </c>
      <c r="M70" s="2">
        <v>0.95899999999999996</v>
      </c>
      <c r="N70" s="2">
        <v>0.82199999999999995</v>
      </c>
      <c r="O70" s="2">
        <v>197.9</v>
      </c>
      <c r="P70" s="2">
        <v>163.5</v>
      </c>
      <c r="Q70" s="2">
        <v>35.5</v>
      </c>
      <c r="R70" s="2">
        <v>22.5</v>
      </c>
      <c r="S70" s="2">
        <v>-13</v>
      </c>
      <c r="T70" s="2">
        <v>123.67</v>
      </c>
      <c r="U70" s="2">
        <v>374.5</v>
      </c>
      <c r="V70" s="2">
        <v>345.3</v>
      </c>
      <c r="W70" s="2">
        <v>-0.08</v>
      </c>
      <c r="X70" s="2" t="s">
        <v>168</v>
      </c>
    </row>
    <row r="71" spans="1:24" x14ac:dyDescent="0.3">
      <c r="A71" s="2" cm="1">
        <f t="array" ref="A71">CountByColumnLogic(C71:X71)</f>
        <v>13</v>
      </c>
      <c r="B71" t="s">
        <v>91</v>
      </c>
      <c r="C71" s="2">
        <v>2.7</v>
      </c>
      <c r="D71" s="2">
        <v>111</v>
      </c>
      <c r="E71" s="2">
        <v>55.7</v>
      </c>
      <c r="F71" s="2">
        <v>40</v>
      </c>
      <c r="G71" s="2">
        <v>82</v>
      </c>
      <c r="H71" s="2">
        <v>0.46100000000000002</v>
      </c>
      <c r="I71" s="2">
        <v>0.38400000000000001</v>
      </c>
      <c r="J71" s="2">
        <v>5.31</v>
      </c>
      <c r="K71" s="2">
        <v>270.5</v>
      </c>
      <c r="L71" s="2">
        <v>257.5</v>
      </c>
      <c r="M71" s="2">
        <v>0.875</v>
      </c>
      <c r="N71" s="2">
        <v>0.88500000000000001</v>
      </c>
      <c r="O71" s="2">
        <v>111.8</v>
      </c>
      <c r="P71" s="2">
        <v>174.1</v>
      </c>
      <c r="Q71" s="2">
        <v>23.8</v>
      </c>
      <c r="R71" s="2">
        <v>35.700000000000003</v>
      </c>
      <c r="S71" s="2">
        <v>11.9</v>
      </c>
      <c r="T71" s="2">
        <v>141.09</v>
      </c>
      <c r="U71" s="2">
        <v>369.3</v>
      </c>
      <c r="V71" s="2">
        <v>444.5</v>
      </c>
      <c r="W71" s="2">
        <v>1.38</v>
      </c>
      <c r="X71" s="2" t="s">
        <v>168</v>
      </c>
    </row>
    <row r="72" spans="1:24" x14ac:dyDescent="0.3">
      <c r="A72" s="2" cm="1">
        <f t="array" ref="A72">CountByColumnLogic(C72:X72)</f>
        <v>8</v>
      </c>
      <c r="B72" t="s">
        <v>92</v>
      </c>
      <c r="C72" s="2">
        <v>16.899999999999999</v>
      </c>
      <c r="D72" s="2">
        <v>56</v>
      </c>
      <c r="E72" s="2">
        <v>75.2</v>
      </c>
      <c r="F72" s="2">
        <v>2</v>
      </c>
      <c r="G72" s="2">
        <v>74</v>
      </c>
      <c r="H72" s="2">
        <v>0.56299999999999994</v>
      </c>
      <c r="I72" s="2">
        <v>0.36599999999999999</v>
      </c>
      <c r="J72" s="2">
        <v>6.62</v>
      </c>
      <c r="K72" s="2">
        <v>348.2</v>
      </c>
      <c r="L72" s="2">
        <v>214.4</v>
      </c>
      <c r="M72" s="2">
        <v>0.82499999999999996</v>
      </c>
      <c r="N72" s="2">
        <v>0.92300000000000004</v>
      </c>
      <c r="O72" s="2">
        <v>112.8</v>
      </c>
      <c r="P72" s="2">
        <v>188.9</v>
      </c>
      <c r="Q72" s="2">
        <v>25.3</v>
      </c>
      <c r="R72" s="2">
        <v>43.9</v>
      </c>
      <c r="S72" s="2">
        <v>18.600000000000001</v>
      </c>
      <c r="T72" s="2">
        <v>169.24</v>
      </c>
      <c r="U72" s="2">
        <v>327.2</v>
      </c>
      <c r="V72" s="2">
        <v>537.20000000000005</v>
      </c>
      <c r="W72" s="2">
        <v>0.15</v>
      </c>
      <c r="X72" s="2">
        <v>19</v>
      </c>
    </row>
    <row r="73" spans="1:24" x14ac:dyDescent="0.3">
      <c r="A73" s="2" cm="1">
        <f t="array" ref="A73">CountByColumnLogic(C73:X73)</f>
        <v>14</v>
      </c>
      <c r="B73" t="s">
        <v>93</v>
      </c>
      <c r="C73" s="2">
        <v>-1.9</v>
      </c>
      <c r="D73" s="2">
        <v>78</v>
      </c>
      <c r="E73" s="2">
        <v>48.7</v>
      </c>
      <c r="F73" s="2">
        <v>97</v>
      </c>
      <c r="G73" s="2">
        <v>53</v>
      </c>
      <c r="H73" s="2">
        <v>0.33700000000000002</v>
      </c>
      <c r="I73" s="2">
        <v>0.42399999999999999</v>
      </c>
      <c r="J73" s="2">
        <v>5.29</v>
      </c>
      <c r="K73" s="2">
        <v>217.4</v>
      </c>
      <c r="L73" s="2">
        <v>194.3</v>
      </c>
      <c r="M73" s="2">
        <v>0.75700000000000001</v>
      </c>
      <c r="N73" s="2">
        <v>0.81599999999999995</v>
      </c>
      <c r="O73" s="2">
        <v>137.1</v>
      </c>
      <c r="P73" s="2">
        <v>135.30000000000001</v>
      </c>
      <c r="Q73" s="2">
        <v>18.8</v>
      </c>
      <c r="R73" s="2">
        <v>24.1</v>
      </c>
      <c r="S73" s="2">
        <v>5.3</v>
      </c>
      <c r="T73" s="2">
        <v>133.47999999999999</v>
      </c>
      <c r="U73" s="2">
        <v>331.4</v>
      </c>
      <c r="V73" s="2">
        <v>352.7</v>
      </c>
      <c r="W73" s="2">
        <v>0.36</v>
      </c>
      <c r="X73" s="2" t="s">
        <v>168</v>
      </c>
    </row>
    <row r="74" spans="1:24" x14ac:dyDescent="0.3">
      <c r="A74" s="2" cm="1">
        <f t="array" ref="A74">CountByColumnLogic(C74:X74)</f>
        <v>16</v>
      </c>
      <c r="B74" t="s">
        <v>94</v>
      </c>
      <c r="C74" s="2">
        <v>-3.3</v>
      </c>
      <c r="D74" s="2">
        <v>26</v>
      </c>
      <c r="E74" s="2">
        <v>44.9</v>
      </c>
      <c r="F74" s="2">
        <v>75</v>
      </c>
      <c r="G74" s="2">
        <v>75</v>
      </c>
      <c r="H74" s="2">
        <v>0.38300000000000001</v>
      </c>
      <c r="I74" s="2">
        <v>0.443</v>
      </c>
      <c r="J74" s="2">
        <v>6.67</v>
      </c>
      <c r="K74" s="2">
        <v>218.1</v>
      </c>
      <c r="L74" s="2">
        <v>206.9</v>
      </c>
      <c r="M74" s="2">
        <v>0.85399999999999998</v>
      </c>
      <c r="N74" s="2">
        <v>0.75700000000000001</v>
      </c>
      <c r="O74" s="2">
        <v>125.1</v>
      </c>
      <c r="P74" s="2">
        <v>115.3</v>
      </c>
      <c r="Q74" s="2">
        <v>26.1</v>
      </c>
      <c r="R74" s="2">
        <v>19.3</v>
      </c>
      <c r="S74" s="2">
        <v>-6.8</v>
      </c>
      <c r="T74" s="2">
        <v>127.68</v>
      </c>
      <c r="U74" s="2">
        <v>332</v>
      </c>
      <c r="V74" s="2">
        <v>333.4</v>
      </c>
      <c r="W74" s="2">
        <v>-0.67</v>
      </c>
      <c r="X74" s="2" t="s">
        <v>168</v>
      </c>
    </row>
    <row r="75" spans="1:24" x14ac:dyDescent="0.3">
      <c r="A75" s="2" cm="1">
        <f t="array" ref="A75">CountByColumnLogic(C75:X75)</f>
        <v>12</v>
      </c>
      <c r="B75" t="s">
        <v>95</v>
      </c>
      <c r="C75" s="2">
        <v>10.4</v>
      </c>
      <c r="D75" s="2">
        <v>5</v>
      </c>
      <c r="E75" s="2">
        <v>68.099999999999994</v>
      </c>
      <c r="F75" s="2">
        <v>77</v>
      </c>
      <c r="G75" s="2">
        <v>12</v>
      </c>
      <c r="H75" s="2">
        <v>0.42</v>
      </c>
      <c r="I75" s="2">
        <v>0.41399999999999998</v>
      </c>
      <c r="J75" s="2">
        <v>4</v>
      </c>
      <c r="K75" s="2">
        <v>129.1</v>
      </c>
      <c r="L75" s="2">
        <v>216.3</v>
      </c>
      <c r="M75" s="2">
        <v>0.76600000000000001</v>
      </c>
      <c r="N75" s="2">
        <v>0.84599999999999997</v>
      </c>
      <c r="O75" s="2">
        <v>90.7</v>
      </c>
      <c r="P75" s="2">
        <v>157.19999999999999</v>
      </c>
      <c r="Q75" s="2">
        <v>19.899999999999999</v>
      </c>
      <c r="R75" s="2">
        <v>22</v>
      </c>
      <c r="S75" s="2">
        <v>2.1</v>
      </c>
      <c r="T75" s="2">
        <v>111.87</v>
      </c>
      <c r="U75" s="2">
        <v>307</v>
      </c>
      <c r="V75" s="2">
        <v>286.2</v>
      </c>
      <c r="W75" s="2">
        <v>-0.15</v>
      </c>
      <c r="X75" s="2">
        <v>9</v>
      </c>
    </row>
    <row r="76" spans="1:24" x14ac:dyDescent="0.3">
      <c r="A76" s="2" cm="1">
        <f t="array" ref="A76">CountByColumnLogic(C76:X76)</f>
        <v>20</v>
      </c>
      <c r="B76" t="s">
        <v>96</v>
      </c>
      <c r="C76" s="2">
        <v>-19.399999999999999</v>
      </c>
      <c r="D76" s="2">
        <v>92</v>
      </c>
      <c r="E76" s="2">
        <v>12.1</v>
      </c>
      <c r="F76" s="2">
        <v>125</v>
      </c>
      <c r="G76" s="2">
        <v>133</v>
      </c>
      <c r="H76" s="2">
        <v>0.38500000000000001</v>
      </c>
      <c r="I76" s="2">
        <v>0.48299999999999998</v>
      </c>
      <c r="J76" s="2">
        <v>7.33</v>
      </c>
      <c r="K76" s="2">
        <v>261.10000000000002</v>
      </c>
      <c r="L76" s="2">
        <v>252.2</v>
      </c>
      <c r="M76" s="2">
        <v>0.85699999999999998</v>
      </c>
      <c r="N76" s="2">
        <v>0.73499999999999999</v>
      </c>
      <c r="O76" s="2">
        <v>197</v>
      </c>
      <c r="P76" s="2">
        <v>89</v>
      </c>
      <c r="Q76" s="2">
        <v>34.299999999999997</v>
      </c>
      <c r="R76" s="2">
        <v>18.100000000000001</v>
      </c>
      <c r="S76" s="2">
        <v>-16.2</v>
      </c>
      <c r="T76" s="2">
        <v>132.94</v>
      </c>
      <c r="U76" s="2">
        <v>449.2</v>
      </c>
      <c r="V76" s="2">
        <v>350.1</v>
      </c>
      <c r="W76" s="2">
        <v>-0.75</v>
      </c>
      <c r="X76" s="2" t="s">
        <v>168</v>
      </c>
    </row>
    <row r="77" spans="1:24" x14ac:dyDescent="0.3">
      <c r="A77" s="2" cm="1">
        <f t="array" ref="A77">CountByColumnLogic(C77:X77)</f>
        <v>11</v>
      </c>
      <c r="B77" t="s">
        <v>97</v>
      </c>
      <c r="C77" s="2">
        <v>10.4</v>
      </c>
      <c r="D77" s="2">
        <v>45</v>
      </c>
      <c r="E77" s="2">
        <v>70.3</v>
      </c>
      <c r="F77" s="2">
        <v>47</v>
      </c>
      <c r="G77" s="2">
        <v>11</v>
      </c>
      <c r="H77" s="2">
        <v>0.45600000000000002</v>
      </c>
      <c r="I77" s="2">
        <v>0.39</v>
      </c>
      <c r="J77" s="2">
        <v>4.8499999999999996</v>
      </c>
      <c r="K77" s="2">
        <v>222.2</v>
      </c>
      <c r="L77" s="2">
        <v>176.1</v>
      </c>
      <c r="M77" s="2">
        <v>0.76500000000000001</v>
      </c>
      <c r="N77" s="2">
        <v>0.875</v>
      </c>
      <c r="O77" s="2">
        <v>109.6</v>
      </c>
      <c r="P77" s="2">
        <v>115.6</v>
      </c>
      <c r="Q77" s="2">
        <v>16.899999999999999</v>
      </c>
      <c r="R77" s="2">
        <v>26.2</v>
      </c>
      <c r="S77" s="2">
        <v>9.3000000000000007</v>
      </c>
      <c r="T77" s="2">
        <v>138.25</v>
      </c>
      <c r="U77" s="2">
        <v>285.7</v>
      </c>
      <c r="V77" s="2">
        <v>337.8</v>
      </c>
      <c r="W77" s="2">
        <v>0.69</v>
      </c>
      <c r="X77" s="2" t="s">
        <v>168</v>
      </c>
    </row>
    <row r="78" spans="1:24" x14ac:dyDescent="0.3">
      <c r="A78" s="2" cm="1">
        <f t="array" ref="A78">CountByColumnLogic(C78:X78)</f>
        <v>20</v>
      </c>
      <c r="B78" t="s">
        <v>98</v>
      </c>
      <c r="C78" s="2">
        <v>0.4</v>
      </c>
      <c r="D78" s="2">
        <v>3</v>
      </c>
      <c r="E78" s="2">
        <v>42.2</v>
      </c>
      <c r="F78" s="2">
        <v>57</v>
      </c>
      <c r="G78" s="2">
        <v>110</v>
      </c>
      <c r="H78" s="2">
        <v>0.36899999999999999</v>
      </c>
      <c r="I78" s="2">
        <v>0.47299999999999998</v>
      </c>
      <c r="J78" s="2">
        <v>6.83</v>
      </c>
      <c r="K78" s="2">
        <v>239.3</v>
      </c>
      <c r="L78" s="2">
        <v>239.5</v>
      </c>
      <c r="M78" s="2">
        <v>0.86</v>
      </c>
      <c r="N78" s="2">
        <v>0.80500000000000005</v>
      </c>
      <c r="O78" s="2">
        <v>216.9</v>
      </c>
      <c r="P78" s="2">
        <v>137.9</v>
      </c>
      <c r="Q78" s="2">
        <v>34.1</v>
      </c>
      <c r="R78" s="2">
        <v>25.8</v>
      </c>
      <c r="S78" s="2">
        <v>-8.3000000000000007</v>
      </c>
      <c r="T78" s="2">
        <v>136.65</v>
      </c>
      <c r="U78" s="2">
        <v>456.4</v>
      </c>
      <c r="V78" s="2">
        <v>377.2</v>
      </c>
      <c r="W78" s="2">
        <v>-0.5</v>
      </c>
      <c r="X78" s="2" t="s">
        <v>168</v>
      </c>
    </row>
    <row r="79" spans="1:24" x14ac:dyDescent="0.3">
      <c r="A79" s="2" cm="1">
        <f t="array" ref="A79">CountByColumnLogic(C79:X79)</f>
        <v>9</v>
      </c>
      <c r="B79" t="s">
        <v>99</v>
      </c>
      <c r="C79" s="2">
        <v>12.5</v>
      </c>
      <c r="D79" s="2">
        <v>34</v>
      </c>
      <c r="E79" s="2">
        <v>67.900000000000006</v>
      </c>
      <c r="F79" s="2">
        <v>37</v>
      </c>
      <c r="G79" s="2">
        <v>23</v>
      </c>
      <c r="H79" s="2">
        <v>0.46400000000000002</v>
      </c>
      <c r="I79" s="2">
        <v>0.30199999999999999</v>
      </c>
      <c r="J79" s="2">
        <v>5.62</v>
      </c>
      <c r="K79" s="2">
        <v>225.1</v>
      </c>
      <c r="L79" s="2">
        <v>181.3</v>
      </c>
      <c r="M79" s="2">
        <v>0.83299999999999996</v>
      </c>
      <c r="N79" s="2">
        <v>0.92</v>
      </c>
      <c r="O79" s="2">
        <v>136.19999999999999</v>
      </c>
      <c r="P79" s="2">
        <v>164.5</v>
      </c>
      <c r="Q79" s="2">
        <v>20.399999999999999</v>
      </c>
      <c r="R79" s="2">
        <v>28.9</v>
      </c>
      <c r="S79" s="2">
        <v>8.5</v>
      </c>
      <c r="T79" s="2">
        <v>131.68</v>
      </c>
      <c r="U79" s="2">
        <v>317.5</v>
      </c>
      <c r="V79" s="2">
        <v>389.5</v>
      </c>
      <c r="W79" s="2">
        <v>0.62</v>
      </c>
      <c r="X79" s="2">
        <v>11</v>
      </c>
    </row>
    <row r="80" spans="1:24" x14ac:dyDescent="0.3">
      <c r="A80" s="2" cm="1">
        <f t="array" ref="A80">CountByColumnLogic(C80:X80)</f>
        <v>14</v>
      </c>
      <c r="B80" t="s">
        <v>100</v>
      </c>
      <c r="C80" s="2">
        <v>2</v>
      </c>
      <c r="D80" s="2">
        <v>74</v>
      </c>
      <c r="E80" s="2">
        <v>68.599999999999994</v>
      </c>
      <c r="F80" s="2">
        <v>19</v>
      </c>
      <c r="G80" s="2">
        <v>46</v>
      </c>
      <c r="H80" s="2">
        <v>0.38500000000000001</v>
      </c>
      <c r="I80" s="2">
        <v>0.41799999999999998</v>
      </c>
      <c r="J80" s="2">
        <v>5.08</v>
      </c>
      <c r="K80" s="2">
        <v>123.8</v>
      </c>
      <c r="L80" s="2">
        <v>212.8</v>
      </c>
      <c r="M80" s="2">
        <v>0.69799999999999995</v>
      </c>
      <c r="N80" s="2">
        <v>0.88100000000000001</v>
      </c>
      <c r="O80" s="2">
        <v>156.1</v>
      </c>
      <c r="P80" s="2">
        <v>247.5</v>
      </c>
      <c r="Q80" s="2">
        <v>22.2</v>
      </c>
      <c r="R80" s="2">
        <v>31.3</v>
      </c>
      <c r="S80" s="2">
        <v>9.1</v>
      </c>
      <c r="T80" s="2">
        <v>151.76</v>
      </c>
      <c r="U80" s="2">
        <v>368.9</v>
      </c>
      <c r="V80" s="2">
        <v>371.3</v>
      </c>
      <c r="W80" s="2">
        <v>0.77</v>
      </c>
      <c r="X80" s="2" t="s">
        <v>168</v>
      </c>
    </row>
    <row r="81" spans="1:24" x14ac:dyDescent="0.3">
      <c r="A81" s="2" cm="1">
        <f t="array" ref="A81">CountByColumnLogic(C81:X81)</f>
        <v>16</v>
      </c>
      <c r="B81" t="s">
        <v>101</v>
      </c>
      <c r="C81" s="2">
        <v>-0.6</v>
      </c>
      <c r="D81" s="2">
        <v>66</v>
      </c>
      <c r="E81" s="2">
        <v>40.1</v>
      </c>
      <c r="F81" s="2">
        <v>85</v>
      </c>
      <c r="G81" s="2">
        <v>84</v>
      </c>
      <c r="H81" s="2">
        <v>0.374</v>
      </c>
      <c r="I81" s="2">
        <v>0.378</v>
      </c>
      <c r="J81" s="2">
        <v>5.08</v>
      </c>
      <c r="K81" s="2">
        <v>232.6</v>
      </c>
      <c r="L81" s="2">
        <v>233.8</v>
      </c>
      <c r="M81" s="2">
        <v>0.8</v>
      </c>
      <c r="N81" s="2">
        <v>0.85199999999999998</v>
      </c>
      <c r="O81" s="2">
        <v>157</v>
      </c>
      <c r="P81" s="2">
        <v>145.19999999999999</v>
      </c>
      <c r="Q81" s="2">
        <v>29.7</v>
      </c>
      <c r="R81" s="2">
        <v>28.5</v>
      </c>
      <c r="S81" s="2">
        <v>-1.2</v>
      </c>
      <c r="T81" s="2">
        <v>141.26</v>
      </c>
      <c r="U81" s="2">
        <v>390.8</v>
      </c>
      <c r="V81" s="2">
        <v>377.8</v>
      </c>
      <c r="W81" s="2">
        <v>-0.23</v>
      </c>
      <c r="X81" s="2">
        <v>24</v>
      </c>
    </row>
    <row r="82" spans="1:24" x14ac:dyDescent="0.3">
      <c r="A82" s="2" cm="1">
        <f t="array" ref="A82">CountByColumnLogic(C82:X82)</f>
        <v>12</v>
      </c>
      <c r="B82" t="s">
        <v>102</v>
      </c>
      <c r="C82" s="2">
        <v>6.9</v>
      </c>
      <c r="D82" s="2">
        <v>15</v>
      </c>
      <c r="E82" s="2">
        <v>66.8</v>
      </c>
      <c r="F82" s="2">
        <v>49</v>
      </c>
      <c r="G82" s="2">
        <v>19</v>
      </c>
      <c r="H82" s="2">
        <v>0.42399999999999999</v>
      </c>
      <c r="I82" s="2">
        <v>0.35199999999999998</v>
      </c>
      <c r="J82" s="2">
        <v>6.23</v>
      </c>
      <c r="K82" s="2">
        <v>228.4</v>
      </c>
      <c r="L82" s="2">
        <v>216.7</v>
      </c>
      <c r="M82" s="2">
        <v>0.75700000000000001</v>
      </c>
      <c r="N82" s="2">
        <v>0.755</v>
      </c>
      <c r="O82" s="2">
        <v>101.2</v>
      </c>
      <c r="P82" s="2">
        <v>130.6</v>
      </c>
      <c r="Q82" s="2">
        <v>19.5</v>
      </c>
      <c r="R82" s="2">
        <v>23.5</v>
      </c>
      <c r="S82" s="2">
        <v>4</v>
      </c>
      <c r="T82" s="2">
        <v>127.88</v>
      </c>
      <c r="U82" s="2">
        <v>317.89999999999998</v>
      </c>
      <c r="V82" s="2">
        <v>359</v>
      </c>
      <c r="W82" s="2">
        <v>-0.15</v>
      </c>
      <c r="X82" s="2" t="s">
        <v>168</v>
      </c>
    </row>
    <row r="83" spans="1:24" x14ac:dyDescent="0.3">
      <c r="A83" s="2" cm="1">
        <f t="array" ref="A83">CountByColumnLogic(C83:X83)</f>
        <v>17</v>
      </c>
      <c r="B83" t="s">
        <v>103</v>
      </c>
      <c r="C83" s="2">
        <v>-8.5</v>
      </c>
      <c r="D83" s="2">
        <v>86</v>
      </c>
      <c r="E83" s="2">
        <v>31.6</v>
      </c>
      <c r="F83" s="2">
        <v>69</v>
      </c>
      <c r="G83" s="2">
        <v>116</v>
      </c>
      <c r="H83" s="2">
        <v>0.44600000000000001</v>
      </c>
      <c r="I83" s="2">
        <v>0.52700000000000002</v>
      </c>
      <c r="J83" s="2">
        <v>7.62</v>
      </c>
      <c r="K83" s="2">
        <v>212.6</v>
      </c>
      <c r="L83" s="2">
        <v>198.6</v>
      </c>
      <c r="M83" s="2">
        <v>0.873</v>
      </c>
      <c r="N83" s="2">
        <v>0.89500000000000002</v>
      </c>
      <c r="O83" s="2">
        <v>192.8</v>
      </c>
      <c r="P83" s="2">
        <v>163.5</v>
      </c>
      <c r="Q83" s="2">
        <v>28.8</v>
      </c>
      <c r="R83" s="2">
        <v>23.1</v>
      </c>
      <c r="S83" s="2">
        <v>-5.7</v>
      </c>
      <c r="T83" s="2">
        <v>143.68</v>
      </c>
      <c r="U83" s="2">
        <v>391.5</v>
      </c>
      <c r="V83" s="2">
        <v>376.1</v>
      </c>
      <c r="W83" s="2">
        <v>-0.15</v>
      </c>
      <c r="X83" s="2" t="s">
        <v>168</v>
      </c>
    </row>
    <row r="84" spans="1:24" x14ac:dyDescent="0.3">
      <c r="A84" s="2" cm="1">
        <f t="array" ref="A84">CountByColumnLogic(C84:X84)</f>
        <v>17</v>
      </c>
      <c r="B84" t="s">
        <v>104</v>
      </c>
      <c r="C84" s="2">
        <v>-10</v>
      </c>
      <c r="D84" s="2">
        <v>123</v>
      </c>
      <c r="E84" s="2">
        <v>33.5</v>
      </c>
      <c r="F84" s="2">
        <v>29</v>
      </c>
      <c r="G84" s="2">
        <v>132</v>
      </c>
      <c r="H84" s="2">
        <v>0.436</v>
      </c>
      <c r="I84" s="2">
        <v>0.5</v>
      </c>
      <c r="J84" s="2">
        <v>9.33</v>
      </c>
      <c r="K84" s="2">
        <v>230.7</v>
      </c>
      <c r="L84" s="2">
        <v>279.2</v>
      </c>
      <c r="M84" s="2">
        <v>0.93799999999999994</v>
      </c>
      <c r="N84" s="2">
        <v>0.91700000000000004</v>
      </c>
      <c r="O84" s="2">
        <v>212.9</v>
      </c>
      <c r="P84" s="2">
        <v>253.6</v>
      </c>
      <c r="Q84" s="2">
        <v>38</v>
      </c>
      <c r="R84" s="2">
        <v>33.5</v>
      </c>
      <c r="S84" s="2">
        <v>-4.5</v>
      </c>
      <c r="T84" s="2">
        <v>121.57</v>
      </c>
      <c r="U84" s="2">
        <v>492.1</v>
      </c>
      <c r="V84" s="2">
        <v>484.3</v>
      </c>
      <c r="W84" s="2">
        <v>-0.75</v>
      </c>
      <c r="X84" s="2" t="s">
        <v>168</v>
      </c>
    </row>
    <row r="85" spans="1:24" x14ac:dyDescent="0.3">
      <c r="A85" s="2" cm="1">
        <f t="array" ref="A85">CountByColumnLogic(C85:X85)</f>
        <v>18</v>
      </c>
      <c r="B85" t="s">
        <v>105</v>
      </c>
      <c r="C85" s="2">
        <v>-20.9</v>
      </c>
      <c r="D85" s="2">
        <v>112</v>
      </c>
      <c r="E85" s="2">
        <v>13.7</v>
      </c>
      <c r="F85" s="2">
        <v>126</v>
      </c>
      <c r="G85" s="2">
        <v>127</v>
      </c>
      <c r="H85" s="2">
        <v>0.38500000000000001</v>
      </c>
      <c r="I85" s="2">
        <v>0.44600000000000001</v>
      </c>
      <c r="J85" s="2">
        <v>5.42</v>
      </c>
      <c r="K85" s="2">
        <v>143.19999999999999</v>
      </c>
      <c r="L85" s="2">
        <v>251.6</v>
      </c>
      <c r="M85" s="2">
        <v>0.91300000000000003</v>
      </c>
      <c r="N85" s="2">
        <v>0.86699999999999999</v>
      </c>
      <c r="O85" s="2">
        <v>195.3</v>
      </c>
      <c r="P85" s="2">
        <v>180</v>
      </c>
      <c r="Q85" s="2">
        <v>36.299999999999997</v>
      </c>
      <c r="R85" s="2">
        <v>21.6</v>
      </c>
      <c r="S85" s="2">
        <v>-14.7</v>
      </c>
      <c r="T85" s="2">
        <v>94.04</v>
      </c>
      <c r="U85" s="2">
        <v>446.8</v>
      </c>
      <c r="V85" s="2">
        <v>323.2</v>
      </c>
      <c r="W85" s="2">
        <v>-1.08</v>
      </c>
      <c r="X85" s="2" t="s">
        <v>168</v>
      </c>
    </row>
    <row r="86" spans="1:24" x14ac:dyDescent="0.3">
      <c r="A86" s="2" cm="1">
        <f t="array" ref="A86">CountByColumnLogic(C86:X86)</f>
        <v>15</v>
      </c>
      <c r="B86" t="s">
        <v>106</v>
      </c>
      <c r="C86" s="2">
        <v>1.2</v>
      </c>
      <c r="D86" s="2">
        <v>90</v>
      </c>
      <c r="E86" s="2">
        <v>46.2</v>
      </c>
      <c r="F86" s="2">
        <v>63</v>
      </c>
      <c r="G86" s="2">
        <v>87</v>
      </c>
      <c r="H86" s="2">
        <v>0.375</v>
      </c>
      <c r="I86" s="2">
        <v>0.36199999999999999</v>
      </c>
      <c r="J86" s="2">
        <v>7.54</v>
      </c>
      <c r="K86" s="2">
        <v>224.4</v>
      </c>
      <c r="L86" s="2">
        <v>226.3</v>
      </c>
      <c r="M86" s="2">
        <v>0.92200000000000004</v>
      </c>
      <c r="N86" s="2">
        <v>0.88900000000000001</v>
      </c>
      <c r="O86" s="2">
        <v>149.5</v>
      </c>
      <c r="P86" s="2">
        <v>182.3</v>
      </c>
      <c r="Q86" s="2">
        <v>28.1</v>
      </c>
      <c r="R86" s="2">
        <v>30.9</v>
      </c>
      <c r="S86" s="2">
        <v>2.8</v>
      </c>
      <c r="T86" s="2">
        <v>131.74</v>
      </c>
      <c r="U86" s="2">
        <v>375.8</v>
      </c>
      <c r="V86" s="2">
        <v>406.7</v>
      </c>
      <c r="W86" s="2">
        <v>-0.15</v>
      </c>
      <c r="X86" s="2" t="s">
        <v>168</v>
      </c>
    </row>
    <row r="87" spans="1:24" x14ac:dyDescent="0.3">
      <c r="A87" s="2" cm="1">
        <f t="array" ref="A87">CountByColumnLogic(C87:X87)</f>
        <v>20</v>
      </c>
      <c r="B87" t="s">
        <v>107</v>
      </c>
      <c r="C87" s="2">
        <v>-6.7</v>
      </c>
      <c r="D87" s="2">
        <v>103</v>
      </c>
      <c r="E87" s="2">
        <v>39.299999999999997</v>
      </c>
      <c r="F87" s="2">
        <v>61</v>
      </c>
      <c r="G87" s="2">
        <v>109</v>
      </c>
      <c r="H87" s="2">
        <v>0.36899999999999999</v>
      </c>
      <c r="I87" s="2">
        <v>0.40300000000000002</v>
      </c>
      <c r="J87" s="2">
        <v>7</v>
      </c>
      <c r="K87" s="2">
        <v>328.2</v>
      </c>
      <c r="L87" s="2">
        <v>264.60000000000002</v>
      </c>
      <c r="M87" s="2">
        <v>0.875</v>
      </c>
      <c r="N87" s="2">
        <v>0.75</v>
      </c>
      <c r="O87" s="2">
        <v>195.9</v>
      </c>
      <c r="P87" s="2">
        <v>160.6</v>
      </c>
      <c r="Q87" s="2">
        <v>34.200000000000003</v>
      </c>
      <c r="R87" s="2">
        <v>33.5</v>
      </c>
      <c r="S87" s="2">
        <v>-0.7</v>
      </c>
      <c r="T87" s="2">
        <v>140.97999999999999</v>
      </c>
      <c r="U87" s="2">
        <v>460.5</v>
      </c>
      <c r="V87" s="2">
        <v>488.8</v>
      </c>
      <c r="W87" s="2">
        <v>-0.46</v>
      </c>
      <c r="X87" s="2" t="s">
        <v>168</v>
      </c>
    </row>
    <row r="88" spans="1:24" x14ac:dyDescent="0.3">
      <c r="A88" s="2" cm="1">
        <f t="array" ref="A88">CountByColumnLogic(C88:X88)</f>
        <v>12</v>
      </c>
      <c r="B88" t="s">
        <v>108</v>
      </c>
      <c r="C88" s="2">
        <v>-3.7</v>
      </c>
      <c r="D88" s="2">
        <v>83</v>
      </c>
      <c r="E88" s="2">
        <v>46.5</v>
      </c>
      <c r="F88" s="2">
        <v>103</v>
      </c>
      <c r="G88" s="2">
        <v>41</v>
      </c>
      <c r="H88" s="2">
        <v>0.42</v>
      </c>
      <c r="I88" s="2">
        <v>0.26700000000000002</v>
      </c>
      <c r="J88" s="2">
        <v>4.2300000000000004</v>
      </c>
      <c r="K88" s="2">
        <v>178.5</v>
      </c>
      <c r="L88" s="2">
        <v>172.5</v>
      </c>
      <c r="M88" s="2">
        <v>0.77800000000000002</v>
      </c>
      <c r="N88" s="2">
        <v>0.86799999999999999</v>
      </c>
      <c r="O88" s="2">
        <v>112.2</v>
      </c>
      <c r="P88" s="2">
        <v>203.8</v>
      </c>
      <c r="Q88" s="2">
        <v>18.5</v>
      </c>
      <c r="R88" s="2">
        <v>24.5</v>
      </c>
      <c r="S88" s="2">
        <v>6</v>
      </c>
      <c r="T88" s="2">
        <v>120.67</v>
      </c>
      <c r="U88" s="2">
        <v>284.60000000000002</v>
      </c>
      <c r="V88" s="2">
        <v>382.2</v>
      </c>
      <c r="W88" s="2">
        <v>-0.23</v>
      </c>
      <c r="X88" s="2" t="s">
        <v>168</v>
      </c>
    </row>
    <row r="89" spans="1:24" x14ac:dyDescent="0.3">
      <c r="A89" s="2" cm="1">
        <f t="array" ref="A89">CountByColumnLogic(C89:X89)</f>
        <v>18</v>
      </c>
      <c r="B89" t="s">
        <v>109</v>
      </c>
      <c r="C89" s="2">
        <v>-4.4000000000000004</v>
      </c>
      <c r="D89" s="2">
        <v>40</v>
      </c>
      <c r="E89" s="2">
        <v>36.1</v>
      </c>
      <c r="F89" s="2">
        <v>118</v>
      </c>
      <c r="G89" s="2">
        <v>68</v>
      </c>
      <c r="H89" s="2">
        <v>0.32900000000000001</v>
      </c>
      <c r="I89" s="2">
        <v>0.40400000000000003</v>
      </c>
      <c r="J89" s="2">
        <v>4.75</v>
      </c>
      <c r="K89" s="2">
        <v>185.9</v>
      </c>
      <c r="L89" s="2">
        <v>231.8</v>
      </c>
      <c r="M89" s="2">
        <v>0.8</v>
      </c>
      <c r="N89" s="2">
        <v>0.68400000000000005</v>
      </c>
      <c r="O89" s="2">
        <v>129.9</v>
      </c>
      <c r="P89" s="2">
        <v>98.5</v>
      </c>
      <c r="Q89" s="2">
        <v>26.3</v>
      </c>
      <c r="R89" s="2">
        <v>17.8</v>
      </c>
      <c r="S89" s="2">
        <v>-8.5</v>
      </c>
      <c r="T89" s="2">
        <v>101.92</v>
      </c>
      <c r="U89" s="2">
        <v>361.8</v>
      </c>
      <c r="V89" s="2">
        <v>284.39999999999998</v>
      </c>
      <c r="W89" s="2">
        <v>-0.17</v>
      </c>
      <c r="X89" s="2" t="s">
        <v>168</v>
      </c>
    </row>
    <row r="90" spans="1:24" x14ac:dyDescent="0.3">
      <c r="A90" s="2" cm="1">
        <f t="array" ref="A90">CountByColumnLogic(C90:X90)</f>
        <v>4</v>
      </c>
      <c r="B90" t="s">
        <v>110</v>
      </c>
      <c r="C90" s="2">
        <v>25.2</v>
      </c>
      <c r="D90" s="2">
        <v>4</v>
      </c>
      <c r="E90" s="2">
        <v>87.8</v>
      </c>
      <c r="F90" s="2">
        <v>9</v>
      </c>
      <c r="G90" s="2">
        <v>2</v>
      </c>
      <c r="H90" s="2">
        <v>0.41299999999999998</v>
      </c>
      <c r="I90" s="2">
        <v>0.32300000000000001</v>
      </c>
      <c r="J90" s="2">
        <v>5.81</v>
      </c>
      <c r="K90" s="2">
        <v>198.1</v>
      </c>
      <c r="L90" s="2">
        <v>169.4</v>
      </c>
      <c r="M90" s="2">
        <v>0.75600000000000001</v>
      </c>
      <c r="N90" s="2">
        <v>0.81699999999999995</v>
      </c>
      <c r="O90" s="2">
        <v>138.1</v>
      </c>
      <c r="P90" s="2">
        <v>200.9</v>
      </c>
      <c r="Q90" s="2">
        <v>15.5</v>
      </c>
      <c r="R90" s="2">
        <v>36.1</v>
      </c>
      <c r="S90" s="2">
        <v>20.6</v>
      </c>
      <c r="T90" s="2">
        <v>140.56</v>
      </c>
      <c r="U90" s="2">
        <v>307.39999999999998</v>
      </c>
      <c r="V90" s="2">
        <v>399.1</v>
      </c>
      <c r="W90" s="2">
        <v>1.1299999999999999</v>
      </c>
      <c r="X90" s="2">
        <v>7</v>
      </c>
    </row>
    <row r="91" spans="1:24" x14ac:dyDescent="0.3">
      <c r="A91" s="2" cm="1">
        <f t="array" ref="A91">CountByColumnLogic(C91:X91)</f>
        <v>12</v>
      </c>
      <c r="B91" t="s">
        <v>111</v>
      </c>
      <c r="C91" s="2">
        <v>-0.4</v>
      </c>
      <c r="D91" s="2">
        <v>116</v>
      </c>
      <c r="E91" s="2">
        <v>56.2</v>
      </c>
      <c r="F91" s="2">
        <v>59</v>
      </c>
      <c r="G91" s="2">
        <v>50</v>
      </c>
      <c r="H91" s="2">
        <v>0.47599999999999998</v>
      </c>
      <c r="I91" s="2">
        <v>0.374</v>
      </c>
      <c r="J91" s="2">
        <v>5.57</v>
      </c>
      <c r="K91" s="2">
        <v>192.4</v>
      </c>
      <c r="L91" s="2">
        <v>212.6</v>
      </c>
      <c r="M91" s="2">
        <v>0.81100000000000005</v>
      </c>
      <c r="N91" s="2">
        <v>0.88700000000000001</v>
      </c>
      <c r="O91" s="2">
        <v>90.6</v>
      </c>
      <c r="P91" s="2">
        <v>213.1</v>
      </c>
      <c r="Q91" s="2">
        <v>18.100000000000001</v>
      </c>
      <c r="R91" s="2">
        <v>29.1</v>
      </c>
      <c r="S91" s="2">
        <v>11</v>
      </c>
      <c r="T91" s="2">
        <v>135.88</v>
      </c>
      <c r="U91" s="2">
        <v>303.10000000000002</v>
      </c>
      <c r="V91" s="2">
        <v>405.6</v>
      </c>
      <c r="W91" s="2">
        <v>-0.14000000000000001</v>
      </c>
      <c r="X91" s="2" t="s">
        <v>168</v>
      </c>
    </row>
    <row r="92" spans="1:24" x14ac:dyDescent="0.3">
      <c r="A92" s="2" cm="1">
        <f t="array" ref="A92">CountByColumnLogic(C92:X92)</f>
        <v>1</v>
      </c>
      <c r="B92" t="s">
        <v>112</v>
      </c>
      <c r="C92" s="2">
        <v>27.9</v>
      </c>
      <c r="D92" s="2">
        <v>2</v>
      </c>
      <c r="E92" s="2">
        <v>91.8</v>
      </c>
      <c r="F92" s="2">
        <v>1</v>
      </c>
      <c r="G92" s="2">
        <v>3</v>
      </c>
      <c r="H92" s="2">
        <v>0.438</v>
      </c>
      <c r="I92" s="2">
        <v>0.35099999999999998</v>
      </c>
      <c r="J92" s="2">
        <v>4.5</v>
      </c>
      <c r="K92" s="2">
        <v>263</v>
      </c>
      <c r="L92" s="2">
        <v>167</v>
      </c>
      <c r="M92" s="2">
        <v>0.60499999999999998</v>
      </c>
      <c r="N92" s="2">
        <v>0.88700000000000001</v>
      </c>
      <c r="O92" s="2">
        <v>87.6</v>
      </c>
      <c r="P92" s="2">
        <v>166.4</v>
      </c>
      <c r="Q92" s="2">
        <v>12.9</v>
      </c>
      <c r="R92" s="2">
        <v>35.700000000000003</v>
      </c>
      <c r="S92" s="2">
        <v>22.8</v>
      </c>
      <c r="T92" s="2">
        <v>171.55</v>
      </c>
      <c r="U92" s="2">
        <v>254.6</v>
      </c>
      <c r="V92" s="2">
        <v>429.4</v>
      </c>
      <c r="W92" s="2">
        <v>0.19</v>
      </c>
      <c r="X92" s="2">
        <v>2</v>
      </c>
    </row>
    <row r="93" spans="1:24" x14ac:dyDescent="0.3">
      <c r="A93" s="2" cm="1">
        <f t="array" ref="A93">CountByColumnLogic(C93:X93)</f>
        <v>11</v>
      </c>
      <c r="B93" t="s">
        <v>113</v>
      </c>
      <c r="C93" s="2">
        <v>10.4</v>
      </c>
      <c r="D93" s="2">
        <v>9</v>
      </c>
      <c r="E93" s="2">
        <v>62.5</v>
      </c>
      <c r="F93" s="2">
        <v>95</v>
      </c>
      <c r="G93" s="2">
        <v>10</v>
      </c>
      <c r="H93" s="2">
        <v>0.378</v>
      </c>
      <c r="I93" s="2">
        <v>0.36199999999999999</v>
      </c>
      <c r="J93" s="2">
        <v>5.31</v>
      </c>
      <c r="K93" s="2">
        <v>175.8</v>
      </c>
      <c r="L93" s="2">
        <v>203.2</v>
      </c>
      <c r="M93" s="2">
        <v>0.81599999999999995</v>
      </c>
      <c r="N93" s="2">
        <v>0.82199999999999995</v>
      </c>
      <c r="O93" s="2">
        <v>115.1</v>
      </c>
      <c r="P93" s="2">
        <v>155.19999999999999</v>
      </c>
      <c r="Q93" s="2">
        <v>21.5</v>
      </c>
      <c r="R93" s="2">
        <v>24</v>
      </c>
      <c r="S93" s="2">
        <v>2.5</v>
      </c>
      <c r="T93" s="2">
        <v>125.42</v>
      </c>
      <c r="U93" s="2">
        <v>318.2</v>
      </c>
      <c r="V93" s="2">
        <v>331</v>
      </c>
      <c r="W93" s="2">
        <v>0</v>
      </c>
      <c r="X93" s="2">
        <v>16</v>
      </c>
    </row>
    <row r="94" spans="1:24" x14ac:dyDescent="0.3">
      <c r="A94" s="2" cm="1">
        <f t="array" ref="A94">CountByColumnLogic(C94:X94)</f>
        <v>18</v>
      </c>
      <c r="B94" t="s">
        <v>114</v>
      </c>
      <c r="C94" s="2">
        <v>0</v>
      </c>
      <c r="D94" s="2">
        <v>46</v>
      </c>
      <c r="E94" s="2">
        <v>45.1</v>
      </c>
      <c r="F94" s="2">
        <v>44</v>
      </c>
      <c r="G94" s="2">
        <v>108</v>
      </c>
      <c r="H94" s="2">
        <v>0.35399999999999998</v>
      </c>
      <c r="I94" s="2">
        <v>0.45900000000000002</v>
      </c>
      <c r="J94" s="2">
        <v>5</v>
      </c>
      <c r="K94" s="2">
        <v>262.3</v>
      </c>
      <c r="L94" s="2">
        <v>285.60000000000002</v>
      </c>
      <c r="M94" s="2">
        <v>0.80800000000000005</v>
      </c>
      <c r="N94" s="2">
        <v>0.88600000000000001</v>
      </c>
      <c r="O94" s="2">
        <v>215</v>
      </c>
      <c r="P94" s="2">
        <v>111.8</v>
      </c>
      <c r="Q94" s="2">
        <v>35.6</v>
      </c>
      <c r="R94" s="2">
        <v>27.2</v>
      </c>
      <c r="S94" s="2">
        <v>-8.4</v>
      </c>
      <c r="T94" s="2">
        <v>126.2</v>
      </c>
      <c r="U94" s="2">
        <v>500.6</v>
      </c>
      <c r="V94" s="2">
        <v>374</v>
      </c>
      <c r="W94" s="2">
        <v>-0.67</v>
      </c>
      <c r="X94" s="2">
        <v>17</v>
      </c>
    </row>
    <row r="95" spans="1:24" x14ac:dyDescent="0.3">
      <c r="A95" s="2" cm="1">
        <f t="array" ref="A95">CountByColumnLogic(C95:X95)</f>
        <v>15</v>
      </c>
      <c r="B95" t="s">
        <v>115</v>
      </c>
      <c r="C95" s="2">
        <v>-2.6</v>
      </c>
      <c r="D95" s="2">
        <v>99</v>
      </c>
      <c r="E95" s="2">
        <v>47.3</v>
      </c>
      <c r="F95" s="2">
        <v>67</v>
      </c>
      <c r="G95" s="2">
        <v>71</v>
      </c>
      <c r="H95" s="2">
        <v>0.43099999999999999</v>
      </c>
      <c r="I95" s="2">
        <v>0.434</v>
      </c>
      <c r="J95" s="2">
        <v>6.17</v>
      </c>
      <c r="K95" s="2">
        <v>192.9</v>
      </c>
      <c r="L95" s="2">
        <v>237.8</v>
      </c>
      <c r="M95" s="2">
        <v>0.82099999999999995</v>
      </c>
      <c r="N95" s="2">
        <v>0.95</v>
      </c>
      <c r="O95" s="2">
        <v>172.6</v>
      </c>
      <c r="P95" s="2">
        <v>209.8</v>
      </c>
      <c r="Q95" s="2">
        <v>28</v>
      </c>
      <c r="R95" s="2">
        <v>28</v>
      </c>
      <c r="S95" s="2">
        <v>0</v>
      </c>
      <c r="T95" s="2">
        <v>128.4</v>
      </c>
      <c r="U95" s="2">
        <v>410.4</v>
      </c>
      <c r="V95" s="2">
        <v>402.7</v>
      </c>
      <c r="W95" s="2">
        <v>-0.25</v>
      </c>
      <c r="X95" s="2" t="s">
        <v>168</v>
      </c>
    </row>
    <row r="96" spans="1:24" x14ac:dyDescent="0.3">
      <c r="A96" s="2" cm="1">
        <f t="array" ref="A96">CountByColumnLogic(C96:X96)</f>
        <v>5</v>
      </c>
      <c r="B96" t="s">
        <v>116</v>
      </c>
      <c r="C96" s="2">
        <v>21.7</v>
      </c>
      <c r="D96" s="2">
        <v>37</v>
      </c>
      <c r="E96" s="2">
        <v>84.8</v>
      </c>
      <c r="F96" s="2">
        <v>8</v>
      </c>
      <c r="G96" s="2">
        <v>5</v>
      </c>
      <c r="H96" s="2">
        <v>0.42299999999999999</v>
      </c>
      <c r="I96" s="2">
        <v>0.31900000000000001</v>
      </c>
      <c r="J96" s="2">
        <v>7.23</v>
      </c>
      <c r="K96" s="2">
        <v>350.8</v>
      </c>
      <c r="L96" s="2">
        <v>230.8</v>
      </c>
      <c r="M96" s="2">
        <v>0.71899999999999997</v>
      </c>
      <c r="N96" s="2">
        <v>0.80300000000000005</v>
      </c>
      <c r="O96" s="2">
        <v>80.5</v>
      </c>
      <c r="P96" s="2">
        <v>175.7</v>
      </c>
      <c r="Q96" s="2">
        <v>14.4</v>
      </c>
      <c r="R96" s="2">
        <v>38.6</v>
      </c>
      <c r="S96" s="2">
        <v>24.2</v>
      </c>
      <c r="T96" s="2">
        <v>176.6</v>
      </c>
      <c r="U96" s="2">
        <v>311.2</v>
      </c>
      <c r="V96" s="2">
        <v>526.5</v>
      </c>
      <c r="W96" s="2">
        <v>0.77</v>
      </c>
      <c r="X96" s="2">
        <v>6</v>
      </c>
    </row>
    <row r="97" spans="1:24" x14ac:dyDescent="0.3">
      <c r="A97" s="2" cm="1">
        <f t="array" ref="A97">CountByColumnLogic(C97:X97)</f>
        <v>7</v>
      </c>
      <c r="B97" t="s">
        <v>117</v>
      </c>
      <c r="C97" s="2">
        <v>20.9</v>
      </c>
      <c r="D97" s="2">
        <v>19</v>
      </c>
      <c r="E97" s="2">
        <v>84</v>
      </c>
      <c r="F97" s="2">
        <v>3</v>
      </c>
      <c r="G97" s="2">
        <v>21</v>
      </c>
      <c r="H97" s="2">
        <v>0.48599999999999999</v>
      </c>
      <c r="I97" s="2">
        <v>0.33700000000000002</v>
      </c>
      <c r="J97" s="2">
        <v>5.29</v>
      </c>
      <c r="K97" s="2">
        <v>279.5</v>
      </c>
      <c r="L97" s="2">
        <v>185.9</v>
      </c>
      <c r="M97" s="2">
        <v>0.85699999999999998</v>
      </c>
      <c r="N97" s="2">
        <v>0.88900000000000001</v>
      </c>
      <c r="O97" s="2">
        <v>130</v>
      </c>
      <c r="P97" s="2">
        <v>157.9</v>
      </c>
      <c r="Q97" s="2">
        <v>19.399999999999999</v>
      </c>
      <c r="R97" s="2">
        <v>34.9</v>
      </c>
      <c r="S97" s="2">
        <v>15.5</v>
      </c>
      <c r="T97" s="2">
        <v>163.19</v>
      </c>
      <c r="U97" s="2">
        <v>315.89999999999998</v>
      </c>
      <c r="V97" s="2">
        <v>437.4</v>
      </c>
      <c r="W97" s="2">
        <v>0.5</v>
      </c>
      <c r="X97" s="2">
        <v>3</v>
      </c>
    </row>
    <row r="98" spans="1:24" x14ac:dyDescent="0.3">
      <c r="A98" s="2" cm="1">
        <f t="array" ref="A98">CountByColumnLogic(C98:X98)</f>
        <v>15</v>
      </c>
      <c r="B98" t="s">
        <v>118</v>
      </c>
      <c r="C98" s="2">
        <v>-7</v>
      </c>
      <c r="D98" s="2">
        <v>88</v>
      </c>
      <c r="E98" s="2">
        <v>29</v>
      </c>
      <c r="F98" s="2">
        <v>90</v>
      </c>
      <c r="G98" s="2">
        <v>121</v>
      </c>
      <c r="H98" s="2">
        <v>0.439</v>
      </c>
      <c r="I98" s="2">
        <v>0.45</v>
      </c>
      <c r="J98" s="2">
        <v>5.08</v>
      </c>
      <c r="K98" s="2">
        <v>201.4</v>
      </c>
      <c r="L98" s="2">
        <v>214.1</v>
      </c>
      <c r="M98" s="2">
        <v>0.81100000000000005</v>
      </c>
      <c r="N98" s="2">
        <v>0.80500000000000005</v>
      </c>
      <c r="O98" s="2">
        <v>185.8</v>
      </c>
      <c r="P98" s="2">
        <v>189.2</v>
      </c>
      <c r="Q98" s="2">
        <v>29.9</v>
      </c>
      <c r="R98" s="2">
        <v>24.3</v>
      </c>
      <c r="S98" s="2">
        <v>-5.6</v>
      </c>
      <c r="T98" s="2">
        <v>116.7</v>
      </c>
      <c r="U98" s="2">
        <v>399.9</v>
      </c>
      <c r="V98" s="2">
        <v>390.6</v>
      </c>
      <c r="W98" s="2">
        <v>-0.33</v>
      </c>
      <c r="X98" s="2" t="s">
        <v>168</v>
      </c>
    </row>
    <row r="99" spans="1:24" x14ac:dyDescent="0.3">
      <c r="A99" s="2" cm="1">
        <f t="array" ref="A99">CountByColumnLogic(C99:X99)</f>
        <v>6</v>
      </c>
      <c r="B99" t="s">
        <v>119</v>
      </c>
      <c r="C99" s="2">
        <v>21.4</v>
      </c>
      <c r="D99" s="2">
        <v>10</v>
      </c>
      <c r="E99" s="2">
        <v>83.7</v>
      </c>
      <c r="F99" s="2">
        <v>5</v>
      </c>
      <c r="G99" s="2">
        <v>7</v>
      </c>
      <c r="H99" s="2">
        <v>0.45900000000000002</v>
      </c>
      <c r="I99" s="2">
        <v>0.372</v>
      </c>
      <c r="J99" s="2">
        <v>5.31</v>
      </c>
      <c r="K99" s="2">
        <v>227.9</v>
      </c>
      <c r="L99" s="2">
        <v>192.9</v>
      </c>
      <c r="M99" s="2">
        <v>0.70699999999999996</v>
      </c>
      <c r="N99" s="2">
        <v>0.89400000000000002</v>
      </c>
      <c r="O99" s="2">
        <v>101.9</v>
      </c>
      <c r="P99" s="2">
        <v>202.3</v>
      </c>
      <c r="Q99" s="2">
        <v>16.5</v>
      </c>
      <c r="R99" s="2">
        <v>33.1</v>
      </c>
      <c r="S99" s="2">
        <v>16.600000000000001</v>
      </c>
      <c r="T99" s="2">
        <v>154.97999999999999</v>
      </c>
      <c r="U99" s="2">
        <v>294.8</v>
      </c>
      <c r="V99" s="2">
        <v>430.2</v>
      </c>
      <c r="W99" s="2">
        <v>0.69</v>
      </c>
      <c r="X99" s="2">
        <v>8</v>
      </c>
    </row>
    <row r="100" spans="1:24" x14ac:dyDescent="0.3">
      <c r="A100" s="2" cm="1">
        <f t="array" ref="A100">CountByColumnLogic(C100:X100)</f>
        <v>15</v>
      </c>
      <c r="B100" t="s">
        <v>120</v>
      </c>
      <c r="C100" s="2">
        <v>2.9</v>
      </c>
      <c r="D100" s="2">
        <v>57</v>
      </c>
      <c r="E100" s="2">
        <v>52</v>
      </c>
      <c r="F100" s="2">
        <v>72</v>
      </c>
      <c r="G100" s="2">
        <v>54</v>
      </c>
      <c r="H100" s="2">
        <v>0.38300000000000001</v>
      </c>
      <c r="I100" s="2">
        <v>0.34</v>
      </c>
      <c r="J100" s="2">
        <v>7.08</v>
      </c>
      <c r="K100" s="2">
        <v>266.89999999999998</v>
      </c>
      <c r="L100" s="2">
        <v>265.39999999999998</v>
      </c>
      <c r="M100" s="2">
        <v>0.79100000000000004</v>
      </c>
      <c r="N100" s="2">
        <v>0.89600000000000002</v>
      </c>
      <c r="O100" s="2">
        <v>112.8</v>
      </c>
      <c r="P100" s="2">
        <v>141.80000000000001</v>
      </c>
      <c r="Q100" s="2">
        <v>28.4</v>
      </c>
      <c r="R100" s="2">
        <v>32.9</v>
      </c>
      <c r="S100" s="2">
        <v>4.5</v>
      </c>
      <c r="T100" s="2">
        <v>131.44</v>
      </c>
      <c r="U100" s="2">
        <v>378.2</v>
      </c>
      <c r="V100" s="2">
        <v>408.7</v>
      </c>
      <c r="W100" s="2">
        <v>-0.15</v>
      </c>
      <c r="X100" s="2" t="s">
        <v>168</v>
      </c>
    </row>
    <row r="101" spans="1:24" x14ac:dyDescent="0.3">
      <c r="A101" s="2" cm="1">
        <f t="array" ref="A101">CountByColumnLogic(C101:X101)</f>
        <v>20</v>
      </c>
      <c r="B101" t="s">
        <v>121</v>
      </c>
      <c r="C101" s="2">
        <v>-13.3</v>
      </c>
      <c r="D101" s="2">
        <v>11</v>
      </c>
      <c r="E101" s="2">
        <v>20.6</v>
      </c>
      <c r="F101" s="2">
        <v>112</v>
      </c>
      <c r="G101" s="2">
        <v>125</v>
      </c>
      <c r="H101" s="2">
        <v>0.315</v>
      </c>
      <c r="I101" s="2">
        <v>0.48299999999999998</v>
      </c>
      <c r="J101" s="2">
        <v>5.5</v>
      </c>
      <c r="K101" s="2">
        <v>183.9</v>
      </c>
      <c r="L101" s="2">
        <v>252.7</v>
      </c>
      <c r="M101" s="2">
        <v>0.92200000000000004</v>
      </c>
      <c r="N101" s="2">
        <v>0.76500000000000001</v>
      </c>
      <c r="O101" s="2">
        <v>200</v>
      </c>
      <c r="P101" s="2">
        <v>115.3</v>
      </c>
      <c r="Q101" s="2">
        <v>39.9</v>
      </c>
      <c r="R101" s="2">
        <v>15.8</v>
      </c>
      <c r="S101" s="2">
        <v>-24.1</v>
      </c>
      <c r="T101" s="2">
        <v>121.36</v>
      </c>
      <c r="U101" s="2">
        <v>452.7</v>
      </c>
      <c r="V101" s="2">
        <v>299.3</v>
      </c>
      <c r="W101" s="2">
        <v>-1.17</v>
      </c>
      <c r="X101" s="2" t="s">
        <v>168</v>
      </c>
    </row>
    <row r="102" spans="1:24" x14ac:dyDescent="0.3">
      <c r="A102" s="2" cm="1">
        <f t="array" ref="A102">CountByColumnLogic(C102:X102)</f>
        <v>19</v>
      </c>
      <c r="B102" t="s">
        <v>122</v>
      </c>
      <c r="C102" s="2">
        <v>-8.1999999999999993</v>
      </c>
      <c r="D102" s="2">
        <v>100</v>
      </c>
      <c r="E102" s="2">
        <v>34</v>
      </c>
      <c r="F102" s="2">
        <v>116</v>
      </c>
      <c r="G102" s="2">
        <v>64</v>
      </c>
      <c r="H102" s="2">
        <v>0.35199999999999998</v>
      </c>
      <c r="I102" s="2">
        <v>0.38100000000000001</v>
      </c>
      <c r="J102" s="2">
        <v>7.08</v>
      </c>
      <c r="K102" s="2">
        <v>239</v>
      </c>
      <c r="L102" s="2">
        <v>173.8</v>
      </c>
      <c r="M102" s="2">
        <v>0.86699999999999999</v>
      </c>
      <c r="N102" s="2">
        <v>0.65900000000000003</v>
      </c>
      <c r="O102" s="2">
        <v>160.6</v>
      </c>
      <c r="P102" s="2">
        <v>113.9</v>
      </c>
      <c r="Q102" s="2">
        <v>25.4</v>
      </c>
      <c r="R102" s="2">
        <v>22.2</v>
      </c>
      <c r="S102" s="2">
        <v>-3.2</v>
      </c>
      <c r="T102" s="2">
        <v>117.99</v>
      </c>
      <c r="U102" s="2">
        <v>334.4</v>
      </c>
      <c r="V102" s="2">
        <v>352.9</v>
      </c>
      <c r="W102" s="2">
        <v>-0.83</v>
      </c>
      <c r="X102" s="2" t="s">
        <v>168</v>
      </c>
    </row>
    <row r="103" spans="1:24" x14ac:dyDescent="0.3">
      <c r="A103" s="2" cm="1">
        <f t="array" ref="A103">CountByColumnLogic(C103:X103)</f>
        <v>13</v>
      </c>
      <c r="B103" t="s">
        <v>123</v>
      </c>
      <c r="C103" s="2">
        <v>4.4000000000000004</v>
      </c>
      <c r="D103" s="2">
        <v>62</v>
      </c>
      <c r="E103" s="2">
        <v>56.3</v>
      </c>
      <c r="F103" s="2">
        <v>30</v>
      </c>
      <c r="G103" s="2">
        <v>100</v>
      </c>
      <c r="H103" s="2">
        <v>0.436</v>
      </c>
      <c r="I103" s="2">
        <v>0.43099999999999999</v>
      </c>
      <c r="J103" s="2">
        <v>4</v>
      </c>
      <c r="K103" s="2">
        <v>207.4</v>
      </c>
      <c r="L103" s="2">
        <v>231.1</v>
      </c>
      <c r="M103" s="2">
        <v>0.80500000000000005</v>
      </c>
      <c r="N103" s="2">
        <v>0.83899999999999997</v>
      </c>
      <c r="O103" s="2">
        <v>162.80000000000001</v>
      </c>
      <c r="P103" s="2">
        <v>175.3</v>
      </c>
      <c r="Q103" s="2">
        <v>25.4</v>
      </c>
      <c r="R103" s="2">
        <v>28.9</v>
      </c>
      <c r="S103" s="2">
        <v>3.5</v>
      </c>
      <c r="T103" s="2">
        <v>122.75</v>
      </c>
      <c r="U103" s="2">
        <v>393.8</v>
      </c>
      <c r="V103" s="2">
        <v>382.7</v>
      </c>
      <c r="W103" s="2">
        <v>0.31</v>
      </c>
      <c r="X103" s="2" t="s">
        <v>168</v>
      </c>
    </row>
    <row r="104" spans="1:24" x14ac:dyDescent="0.3">
      <c r="A104" s="2" cm="1">
        <f t="array" ref="A104">CountByColumnLogic(C104:X104)</f>
        <v>14</v>
      </c>
      <c r="B104" t="s">
        <v>124</v>
      </c>
      <c r="C104" s="2">
        <v>-6.6</v>
      </c>
      <c r="D104" s="2">
        <v>124</v>
      </c>
      <c r="E104" s="2">
        <v>43.8</v>
      </c>
      <c r="F104" s="2">
        <v>114</v>
      </c>
      <c r="G104" s="2">
        <v>34</v>
      </c>
      <c r="H104" s="2">
        <v>0.38800000000000001</v>
      </c>
      <c r="I104" s="2">
        <v>0.38100000000000001</v>
      </c>
      <c r="J104" s="2">
        <v>4.62</v>
      </c>
      <c r="K104" s="2">
        <v>168.2</v>
      </c>
      <c r="L104" s="2">
        <v>177</v>
      </c>
      <c r="M104" s="2">
        <v>0.75</v>
      </c>
      <c r="N104" s="2">
        <v>0.74399999999999999</v>
      </c>
      <c r="O104" s="2">
        <v>144.5</v>
      </c>
      <c r="P104" s="2">
        <v>179.8</v>
      </c>
      <c r="Q104" s="2">
        <v>20.5</v>
      </c>
      <c r="R104" s="2">
        <v>23.8</v>
      </c>
      <c r="S104" s="2">
        <v>3.3</v>
      </c>
      <c r="T104" s="2">
        <v>123.46</v>
      </c>
      <c r="U104" s="2">
        <v>321.5</v>
      </c>
      <c r="V104" s="2">
        <v>347.9</v>
      </c>
      <c r="W104" s="2">
        <v>0.92</v>
      </c>
      <c r="X104" s="2" t="s">
        <v>168</v>
      </c>
    </row>
    <row r="105" spans="1:24" x14ac:dyDescent="0.3">
      <c r="A105" s="2" cm="1">
        <f t="array" ref="A105">CountByColumnLogic(C105:X105)</f>
        <v>19</v>
      </c>
      <c r="B105" t="s">
        <v>125</v>
      </c>
      <c r="C105" s="2">
        <v>-13.7</v>
      </c>
      <c r="D105" s="2">
        <v>109</v>
      </c>
      <c r="E105" s="2">
        <v>20.9</v>
      </c>
      <c r="F105" s="2">
        <v>127</v>
      </c>
      <c r="G105" s="2">
        <v>115</v>
      </c>
      <c r="H105" s="2">
        <v>0.36199999999999999</v>
      </c>
      <c r="I105" s="2">
        <v>0.47299999999999998</v>
      </c>
      <c r="J105" s="2">
        <v>9.08</v>
      </c>
      <c r="K105" s="2">
        <v>205.7</v>
      </c>
      <c r="L105" s="2">
        <v>214.1</v>
      </c>
      <c r="M105" s="2">
        <v>0.91300000000000003</v>
      </c>
      <c r="N105" s="2">
        <v>0.78900000000000003</v>
      </c>
      <c r="O105" s="2">
        <v>207.3</v>
      </c>
      <c r="P105" s="2">
        <v>128.9</v>
      </c>
      <c r="Q105" s="2">
        <v>29.6</v>
      </c>
      <c r="R105" s="2">
        <v>21.3</v>
      </c>
      <c r="S105" s="2">
        <v>-8.3000000000000007</v>
      </c>
      <c r="T105" s="2">
        <v>126.62</v>
      </c>
      <c r="U105" s="2">
        <v>421.3</v>
      </c>
      <c r="V105" s="2">
        <v>334.6</v>
      </c>
      <c r="W105" s="2">
        <v>0.25</v>
      </c>
      <c r="X105" s="2" t="s">
        <v>168</v>
      </c>
    </row>
    <row r="106" spans="1:24" x14ac:dyDescent="0.3">
      <c r="A106" s="2" cm="1">
        <f t="array" ref="A106">CountByColumnLogic(C106:X106)</f>
        <v>17</v>
      </c>
      <c r="B106" t="s">
        <v>126</v>
      </c>
      <c r="C106" s="2">
        <v>-5.0999999999999996</v>
      </c>
      <c r="D106" s="2">
        <v>119</v>
      </c>
      <c r="E106" s="2">
        <v>41.6</v>
      </c>
      <c r="F106" s="2">
        <v>76</v>
      </c>
      <c r="G106" s="2">
        <v>72</v>
      </c>
      <c r="H106" s="2">
        <v>0.39900000000000002</v>
      </c>
      <c r="I106" s="2">
        <v>0.46200000000000002</v>
      </c>
      <c r="J106" s="2">
        <v>7</v>
      </c>
      <c r="K106" s="2">
        <v>321.8</v>
      </c>
      <c r="L106" s="2">
        <v>232.8</v>
      </c>
      <c r="M106" s="2">
        <v>0.79600000000000004</v>
      </c>
      <c r="N106" s="2">
        <v>0.81299999999999994</v>
      </c>
      <c r="O106" s="2">
        <v>147.80000000000001</v>
      </c>
      <c r="P106" s="2">
        <v>88.1</v>
      </c>
      <c r="Q106" s="2">
        <v>27.5</v>
      </c>
      <c r="R106" s="2">
        <v>28.4</v>
      </c>
      <c r="S106" s="2">
        <v>0.9</v>
      </c>
      <c r="T106" s="2">
        <v>133.63999999999999</v>
      </c>
      <c r="U106" s="2">
        <v>380.6</v>
      </c>
      <c r="V106" s="2">
        <v>409.8</v>
      </c>
      <c r="W106" s="2">
        <v>-0.08</v>
      </c>
      <c r="X106" s="2" t="s">
        <v>168</v>
      </c>
    </row>
    <row r="107" spans="1:24" x14ac:dyDescent="0.3">
      <c r="A107" s="2" cm="1">
        <f t="array" ref="A107">CountByColumnLogic(C107:X107)</f>
        <v>9</v>
      </c>
      <c r="B107" t="s">
        <v>127</v>
      </c>
      <c r="C107" s="2">
        <v>15</v>
      </c>
      <c r="D107" s="2">
        <v>41</v>
      </c>
      <c r="E107" s="2">
        <v>75.5</v>
      </c>
      <c r="F107" s="2">
        <v>35</v>
      </c>
      <c r="G107" s="2">
        <v>13</v>
      </c>
      <c r="H107" s="2">
        <v>0.44600000000000001</v>
      </c>
      <c r="I107" s="2">
        <v>0.33</v>
      </c>
      <c r="J107" s="2">
        <v>8.14</v>
      </c>
      <c r="K107" s="2">
        <v>261.89999999999998</v>
      </c>
      <c r="L107" s="2">
        <v>225.8</v>
      </c>
      <c r="M107" s="2">
        <v>0.76700000000000002</v>
      </c>
      <c r="N107" s="2">
        <v>0.83299999999999996</v>
      </c>
      <c r="O107" s="2">
        <v>100.2</v>
      </c>
      <c r="P107" s="2">
        <v>167.6</v>
      </c>
      <c r="Q107" s="2">
        <v>22.1</v>
      </c>
      <c r="R107" s="2">
        <v>36.5</v>
      </c>
      <c r="S107" s="2">
        <v>14.4</v>
      </c>
      <c r="T107" s="2">
        <v>150.08000000000001</v>
      </c>
      <c r="U107" s="2">
        <v>326</v>
      </c>
      <c r="V107" s="2">
        <v>429.5</v>
      </c>
      <c r="W107" s="2">
        <v>-0.14000000000000001</v>
      </c>
      <c r="X107" s="2" t="s">
        <v>168</v>
      </c>
    </row>
    <row r="108" spans="1:24" x14ac:dyDescent="0.3">
      <c r="A108" s="2" cm="1">
        <f t="array" ref="A108">CountByColumnLogic(C108:X108)</f>
        <v>14</v>
      </c>
      <c r="B108" t="s">
        <v>128</v>
      </c>
      <c r="C108" s="2">
        <v>0.2</v>
      </c>
      <c r="D108" s="2">
        <v>108</v>
      </c>
      <c r="E108" s="2">
        <v>50</v>
      </c>
      <c r="F108" s="2">
        <v>56</v>
      </c>
      <c r="G108" s="2">
        <v>79</v>
      </c>
      <c r="H108" s="2">
        <v>0.38600000000000001</v>
      </c>
      <c r="I108" s="2">
        <v>0.38800000000000001</v>
      </c>
      <c r="J108" s="2">
        <v>8.23</v>
      </c>
      <c r="K108" s="2">
        <v>243.5</v>
      </c>
      <c r="L108" s="2">
        <v>248.8</v>
      </c>
      <c r="M108" s="2">
        <v>0.81299999999999994</v>
      </c>
      <c r="N108" s="2">
        <v>0.85499999999999998</v>
      </c>
      <c r="O108" s="2">
        <v>142.19999999999999</v>
      </c>
      <c r="P108" s="2">
        <v>198.7</v>
      </c>
      <c r="Q108" s="2">
        <v>25.2</v>
      </c>
      <c r="R108" s="2">
        <v>34.4</v>
      </c>
      <c r="S108" s="2">
        <v>9.1999999999999993</v>
      </c>
      <c r="T108" s="2">
        <v>147.61000000000001</v>
      </c>
      <c r="U108" s="2">
        <v>391</v>
      </c>
      <c r="V108" s="2">
        <v>442.2</v>
      </c>
      <c r="W108" s="2">
        <v>0.62</v>
      </c>
      <c r="X108" s="2" t="s">
        <v>168</v>
      </c>
    </row>
    <row r="109" spans="1:24" x14ac:dyDescent="0.3">
      <c r="A109" s="2" cm="1">
        <f t="array" ref="A109">CountByColumnLogic(C109:X109)</f>
        <v>8</v>
      </c>
      <c r="B109" t="s">
        <v>129</v>
      </c>
      <c r="C109" s="2">
        <v>14.2</v>
      </c>
      <c r="D109" s="2">
        <v>21</v>
      </c>
      <c r="E109" s="2">
        <v>73.3</v>
      </c>
      <c r="F109" s="2">
        <v>48</v>
      </c>
      <c r="G109" s="2">
        <v>9</v>
      </c>
      <c r="H109" s="2">
        <v>0.433</v>
      </c>
      <c r="I109" s="2">
        <v>0.35599999999999998</v>
      </c>
      <c r="J109" s="2">
        <v>6.69</v>
      </c>
      <c r="K109" s="2">
        <v>223.4</v>
      </c>
      <c r="L109" s="2">
        <v>204.4</v>
      </c>
      <c r="M109" s="2">
        <v>0.77500000000000002</v>
      </c>
      <c r="N109" s="2">
        <v>0.78700000000000003</v>
      </c>
      <c r="O109" s="2">
        <v>112.2</v>
      </c>
      <c r="P109" s="2">
        <v>184.4</v>
      </c>
      <c r="Q109" s="2">
        <v>18.100000000000001</v>
      </c>
      <c r="R109" s="2">
        <v>30.5</v>
      </c>
      <c r="S109" s="2">
        <v>12.4</v>
      </c>
      <c r="T109" s="2">
        <v>152.99</v>
      </c>
      <c r="U109" s="2">
        <v>316.60000000000002</v>
      </c>
      <c r="V109" s="2">
        <v>407.8</v>
      </c>
      <c r="W109" s="2">
        <v>0.23</v>
      </c>
      <c r="X109" s="2" t="s">
        <v>168</v>
      </c>
    </row>
    <row r="110" spans="1:24" x14ac:dyDescent="0.3">
      <c r="A110" s="2" cm="1">
        <f t="array" ref="A110">CountByColumnLogic(C110:X110)</f>
        <v>14</v>
      </c>
      <c r="B110" t="s">
        <v>130</v>
      </c>
      <c r="C110" s="2">
        <v>-3.5</v>
      </c>
      <c r="D110" s="2">
        <v>73</v>
      </c>
      <c r="E110" s="2">
        <v>43.2</v>
      </c>
      <c r="F110" s="2">
        <v>102</v>
      </c>
      <c r="G110" s="2">
        <v>78</v>
      </c>
      <c r="H110" s="2">
        <v>0.39500000000000002</v>
      </c>
      <c r="I110" s="2">
        <v>0.34499999999999997</v>
      </c>
      <c r="J110" s="2">
        <v>8.08</v>
      </c>
      <c r="K110" s="2">
        <v>227.5</v>
      </c>
      <c r="L110" s="2">
        <v>278.8</v>
      </c>
      <c r="M110" s="2">
        <v>0.78400000000000003</v>
      </c>
      <c r="N110" s="2">
        <v>0.86299999999999999</v>
      </c>
      <c r="O110" s="2">
        <v>158.19999999999999</v>
      </c>
      <c r="P110" s="2">
        <v>180.2</v>
      </c>
      <c r="Q110" s="2">
        <v>29.8</v>
      </c>
      <c r="R110" s="2">
        <v>32.200000000000003</v>
      </c>
      <c r="S110" s="2">
        <v>2.4</v>
      </c>
      <c r="T110" s="2">
        <v>122.62</v>
      </c>
      <c r="U110" s="2">
        <v>436.9</v>
      </c>
      <c r="V110" s="2">
        <v>407.7</v>
      </c>
      <c r="W110" s="2">
        <v>0.54</v>
      </c>
      <c r="X110" s="2" t="s">
        <v>168</v>
      </c>
    </row>
    <row r="111" spans="1:24" x14ac:dyDescent="0.3">
      <c r="A111" s="2" cm="1">
        <f t="array" ref="A111">CountByColumnLogic(C111:X111)</f>
        <v>20</v>
      </c>
      <c r="B111" t="s">
        <v>131</v>
      </c>
      <c r="C111" s="2">
        <v>-21.7</v>
      </c>
      <c r="D111" s="2">
        <v>114</v>
      </c>
      <c r="E111" s="2">
        <v>11.4</v>
      </c>
      <c r="F111" s="2">
        <v>131</v>
      </c>
      <c r="G111" s="2">
        <v>128</v>
      </c>
      <c r="H111" s="2">
        <v>0.25</v>
      </c>
      <c r="I111" s="2">
        <v>0.42299999999999999</v>
      </c>
      <c r="J111" s="2">
        <v>6</v>
      </c>
      <c r="K111" s="2">
        <v>174.9</v>
      </c>
      <c r="L111" s="2">
        <v>216.5</v>
      </c>
      <c r="M111" s="2">
        <v>0.88700000000000001</v>
      </c>
      <c r="N111" s="2">
        <v>0.73299999999999998</v>
      </c>
      <c r="O111" s="2">
        <v>232.7</v>
      </c>
      <c r="P111" s="2">
        <v>108.6</v>
      </c>
      <c r="Q111" s="2">
        <v>37.799999999999997</v>
      </c>
      <c r="R111" s="2">
        <v>15.3</v>
      </c>
      <c r="S111" s="2">
        <v>-22.5</v>
      </c>
      <c r="T111" s="2">
        <v>104.55</v>
      </c>
      <c r="U111" s="2">
        <v>449.2</v>
      </c>
      <c r="V111" s="2">
        <v>283.5</v>
      </c>
      <c r="W111" s="2">
        <v>-1.58</v>
      </c>
      <c r="X111" s="2" t="s">
        <v>168</v>
      </c>
    </row>
    <row r="112" spans="1:24" x14ac:dyDescent="0.3">
      <c r="A112" s="2" cm="1">
        <f t="array" ref="A112">CountByColumnLogic(C112:X112)</f>
        <v>19</v>
      </c>
      <c r="B112" t="s">
        <v>132</v>
      </c>
      <c r="C112" s="2">
        <v>-5.6</v>
      </c>
      <c r="D112" s="2">
        <v>29</v>
      </c>
      <c r="E112" s="2">
        <v>36.9</v>
      </c>
      <c r="F112" s="2">
        <v>101</v>
      </c>
      <c r="G112" s="2">
        <v>101</v>
      </c>
      <c r="H112" s="2">
        <v>0.34599999999999997</v>
      </c>
      <c r="I112" s="2">
        <v>0.45900000000000002</v>
      </c>
      <c r="J112" s="2">
        <v>5.42</v>
      </c>
      <c r="K112" s="2">
        <v>191.3</v>
      </c>
      <c r="L112" s="2">
        <v>280.60000000000002</v>
      </c>
      <c r="M112" s="2">
        <v>0.86</v>
      </c>
      <c r="N112" s="2">
        <v>0.78</v>
      </c>
      <c r="O112" s="2">
        <v>133.5</v>
      </c>
      <c r="P112" s="2">
        <v>132.69999999999999</v>
      </c>
      <c r="Q112" s="2">
        <v>33.700000000000003</v>
      </c>
      <c r="R112" s="2">
        <v>22.8</v>
      </c>
      <c r="S112" s="2">
        <v>-10.9</v>
      </c>
      <c r="T112" s="2">
        <v>119.51</v>
      </c>
      <c r="U112" s="2">
        <v>414.1</v>
      </c>
      <c r="V112" s="2">
        <v>323.89999999999998</v>
      </c>
      <c r="W112" s="2">
        <v>-0.42</v>
      </c>
      <c r="X112" s="2" t="s">
        <v>168</v>
      </c>
    </row>
    <row r="113" spans="1:24" x14ac:dyDescent="0.3">
      <c r="A113" s="2" cm="1">
        <f t="array" ref="A113">CountByColumnLogic(C113:X113)</f>
        <v>15</v>
      </c>
      <c r="B113" t="s">
        <v>133</v>
      </c>
      <c r="C113" s="2">
        <v>4.5</v>
      </c>
      <c r="D113" s="2">
        <v>75</v>
      </c>
      <c r="E113" s="2">
        <v>61.1</v>
      </c>
      <c r="F113" s="2">
        <v>17</v>
      </c>
      <c r="G113" s="2">
        <v>86</v>
      </c>
      <c r="H113" s="2">
        <v>0.49</v>
      </c>
      <c r="I113" s="2">
        <v>0.38200000000000001</v>
      </c>
      <c r="J113" s="2">
        <v>7.08</v>
      </c>
      <c r="K113" s="2">
        <v>370</v>
      </c>
      <c r="L113" s="2">
        <v>227.3</v>
      </c>
      <c r="M113" s="2">
        <v>0.85099999999999998</v>
      </c>
      <c r="N113" s="2">
        <v>0.85499999999999998</v>
      </c>
      <c r="O113" s="2">
        <v>150.19999999999999</v>
      </c>
      <c r="P113" s="2">
        <v>97.6</v>
      </c>
      <c r="Q113" s="2">
        <v>29.2</v>
      </c>
      <c r="R113" s="2">
        <v>34.1</v>
      </c>
      <c r="S113" s="2">
        <v>4.9000000000000004</v>
      </c>
      <c r="T113" s="2">
        <v>148.03</v>
      </c>
      <c r="U113" s="2">
        <v>377.5</v>
      </c>
      <c r="V113" s="2">
        <v>467.6</v>
      </c>
      <c r="W113" s="2">
        <v>0.08</v>
      </c>
      <c r="X113" s="2" t="s">
        <v>168</v>
      </c>
    </row>
    <row r="114" spans="1:24" x14ac:dyDescent="0.3">
      <c r="A114" s="2" cm="1">
        <f t="array" ref="A114">CountByColumnLogic(C114:X114)</f>
        <v>14</v>
      </c>
      <c r="B114" t="s">
        <v>134</v>
      </c>
      <c r="C114" s="2">
        <v>9</v>
      </c>
      <c r="D114" s="2">
        <v>68</v>
      </c>
      <c r="E114" s="2">
        <v>68.8</v>
      </c>
      <c r="F114" s="2">
        <v>22</v>
      </c>
      <c r="G114" s="2">
        <v>49</v>
      </c>
      <c r="H114" s="2">
        <v>0.434</v>
      </c>
      <c r="I114" s="2">
        <v>0.437</v>
      </c>
      <c r="J114" s="2">
        <v>5.62</v>
      </c>
      <c r="K114" s="2">
        <v>312.89999999999998</v>
      </c>
      <c r="L114" s="2">
        <v>185.2</v>
      </c>
      <c r="M114" s="2">
        <v>0.878</v>
      </c>
      <c r="N114" s="2">
        <v>0.91200000000000003</v>
      </c>
      <c r="O114" s="2">
        <v>160.5</v>
      </c>
      <c r="P114" s="2">
        <v>113.9</v>
      </c>
      <c r="Q114" s="2">
        <v>24.6</v>
      </c>
      <c r="R114" s="2">
        <v>33.5</v>
      </c>
      <c r="S114" s="2">
        <v>8.9</v>
      </c>
      <c r="T114" s="2">
        <v>151.93</v>
      </c>
      <c r="U114" s="2">
        <v>345.6</v>
      </c>
      <c r="V114" s="2">
        <v>426.8</v>
      </c>
      <c r="W114" s="2">
        <v>-0.46</v>
      </c>
      <c r="X114" s="2" t="s">
        <v>168</v>
      </c>
    </row>
    <row r="115" spans="1:24" x14ac:dyDescent="0.3">
      <c r="A115" s="2" cm="1">
        <f t="array" ref="A115">CountByColumnLogic(C115:X115)</f>
        <v>18</v>
      </c>
      <c r="B115" t="s">
        <v>135</v>
      </c>
      <c r="C115" s="2">
        <v>-18.5</v>
      </c>
      <c r="D115" s="2">
        <v>96</v>
      </c>
      <c r="E115" s="2">
        <v>21</v>
      </c>
      <c r="F115" s="2">
        <v>129</v>
      </c>
      <c r="G115" s="2">
        <v>95</v>
      </c>
      <c r="H115" s="2">
        <v>0.32100000000000001</v>
      </c>
      <c r="I115" s="2">
        <v>0.36599999999999999</v>
      </c>
      <c r="J115" s="2">
        <v>5.58</v>
      </c>
      <c r="K115" s="2">
        <v>216</v>
      </c>
      <c r="L115" s="2">
        <v>191.7</v>
      </c>
      <c r="M115" s="2">
        <v>0.85099999999999998</v>
      </c>
      <c r="N115" s="2">
        <v>0.72699999999999998</v>
      </c>
      <c r="O115" s="2">
        <v>226.1</v>
      </c>
      <c r="P115" s="2">
        <v>92.8</v>
      </c>
      <c r="Q115" s="2">
        <v>35.4</v>
      </c>
      <c r="R115" s="2">
        <v>19.600000000000001</v>
      </c>
      <c r="S115" s="2">
        <v>-15.8</v>
      </c>
      <c r="T115" s="2">
        <v>117.89</v>
      </c>
      <c r="U115" s="2">
        <v>417.8</v>
      </c>
      <c r="V115" s="2">
        <v>308.8</v>
      </c>
      <c r="W115" s="2">
        <v>-0.83</v>
      </c>
      <c r="X115" s="2" t="s">
        <v>168</v>
      </c>
    </row>
    <row r="116" spans="1:24" x14ac:dyDescent="0.3">
      <c r="A116" s="2" cm="1">
        <f t="array" ref="A116">CountByColumnLogic(C116:X116)</f>
        <v>7</v>
      </c>
      <c r="B116" t="s">
        <v>136</v>
      </c>
      <c r="C116" s="2">
        <v>20.100000000000001</v>
      </c>
      <c r="D116" s="2">
        <v>16</v>
      </c>
      <c r="E116" s="2">
        <v>81.8</v>
      </c>
      <c r="F116" s="2">
        <v>27</v>
      </c>
      <c r="G116" s="2">
        <v>4</v>
      </c>
      <c r="H116" s="2">
        <v>0.47199999999999998</v>
      </c>
      <c r="I116" s="2">
        <v>0.30299999999999999</v>
      </c>
      <c r="J116" s="2">
        <v>8.08</v>
      </c>
      <c r="K116" s="2">
        <v>221.2</v>
      </c>
      <c r="L116" s="2">
        <v>189.3</v>
      </c>
      <c r="M116" s="2">
        <v>0.73</v>
      </c>
      <c r="N116" s="2">
        <v>0.82499999999999996</v>
      </c>
      <c r="O116" s="2">
        <v>103.9</v>
      </c>
      <c r="P116" s="2">
        <v>225.8</v>
      </c>
      <c r="Q116" s="2">
        <v>16.100000000000001</v>
      </c>
      <c r="R116" s="2">
        <v>35.700000000000003</v>
      </c>
      <c r="S116" s="2">
        <v>19.600000000000001</v>
      </c>
      <c r="T116" s="2">
        <v>142.46</v>
      </c>
      <c r="U116" s="2">
        <v>293.2</v>
      </c>
      <c r="V116" s="2">
        <v>447</v>
      </c>
      <c r="W116" s="2">
        <v>0.46</v>
      </c>
      <c r="X116" s="2">
        <v>15</v>
      </c>
    </row>
    <row r="117" spans="1:24" x14ac:dyDescent="0.3">
      <c r="A117" s="2" cm="1">
        <f t="array" ref="A117">CountByColumnLogic(C117:X117)</f>
        <v>12</v>
      </c>
      <c r="B117" t="s">
        <v>137</v>
      </c>
      <c r="C117" s="2">
        <v>14.2</v>
      </c>
      <c r="D117" s="2">
        <v>13</v>
      </c>
      <c r="E117" s="2">
        <v>75.599999999999994</v>
      </c>
      <c r="F117" s="2">
        <v>24</v>
      </c>
      <c r="G117" s="2">
        <v>25</v>
      </c>
      <c r="H117" s="2">
        <v>0.45100000000000001</v>
      </c>
      <c r="I117" s="2">
        <v>0.35399999999999998</v>
      </c>
      <c r="J117" s="2">
        <v>7.54</v>
      </c>
      <c r="K117" s="2">
        <v>210.3</v>
      </c>
      <c r="L117" s="2">
        <v>232.2</v>
      </c>
      <c r="M117" s="2">
        <v>0.86799999999999999</v>
      </c>
      <c r="N117" s="2">
        <v>0.90600000000000003</v>
      </c>
      <c r="O117" s="2">
        <v>135.19999999999999</v>
      </c>
      <c r="P117" s="2">
        <v>195.5</v>
      </c>
      <c r="Q117" s="2">
        <v>22.2</v>
      </c>
      <c r="R117" s="2">
        <v>30.4</v>
      </c>
      <c r="S117" s="2">
        <v>8.1999999999999993</v>
      </c>
      <c r="T117" s="2">
        <v>134.72</v>
      </c>
      <c r="U117" s="2">
        <v>367.3</v>
      </c>
      <c r="V117" s="2">
        <v>405.8</v>
      </c>
      <c r="W117" s="2">
        <v>0.38</v>
      </c>
      <c r="X117" s="2">
        <v>20</v>
      </c>
    </row>
    <row r="118" spans="1:24" x14ac:dyDescent="0.3">
      <c r="A118" s="2" cm="1">
        <f t="array" ref="A118">CountByColumnLogic(C118:X118)</f>
        <v>6</v>
      </c>
      <c r="B118" t="s">
        <v>138</v>
      </c>
      <c r="C118" s="2">
        <v>25.3</v>
      </c>
      <c r="D118" s="2">
        <v>6</v>
      </c>
      <c r="E118" s="2">
        <v>87.7</v>
      </c>
      <c r="F118" s="2">
        <v>15</v>
      </c>
      <c r="G118" s="2">
        <v>1</v>
      </c>
      <c r="H118" s="2">
        <v>0.43</v>
      </c>
      <c r="I118" s="2">
        <v>0.314</v>
      </c>
      <c r="J118" s="2">
        <v>6.38</v>
      </c>
      <c r="K118" s="2">
        <v>278.8</v>
      </c>
      <c r="L118" s="2">
        <v>173.8</v>
      </c>
      <c r="M118" s="2">
        <v>0.69199999999999995</v>
      </c>
      <c r="N118" s="2">
        <v>0.79700000000000004</v>
      </c>
      <c r="O118" s="2">
        <v>109.6</v>
      </c>
      <c r="P118" s="2">
        <v>158.80000000000001</v>
      </c>
      <c r="Q118" s="2">
        <v>15.3</v>
      </c>
      <c r="R118" s="2">
        <v>33</v>
      </c>
      <c r="S118" s="2">
        <v>17.7</v>
      </c>
      <c r="T118" s="2">
        <v>154.46</v>
      </c>
      <c r="U118" s="2">
        <v>283.39999999999998</v>
      </c>
      <c r="V118" s="2">
        <v>437.5</v>
      </c>
      <c r="W118" s="2">
        <v>0.31</v>
      </c>
      <c r="X118" s="2">
        <v>4</v>
      </c>
    </row>
    <row r="119" spans="1:24" x14ac:dyDescent="0.3">
      <c r="A119" s="2" cm="1">
        <f t="array" ref="A119">CountByColumnLogic(C119:X119)</f>
        <v>12</v>
      </c>
      <c r="B119" t="s">
        <v>139</v>
      </c>
      <c r="C119" s="2">
        <v>2</v>
      </c>
      <c r="D119" s="2">
        <v>121</v>
      </c>
      <c r="E119" s="2">
        <v>53.3</v>
      </c>
      <c r="F119" s="2">
        <v>45</v>
      </c>
      <c r="G119" s="2">
        <v>81</v>
      </c>
      <c r="H119" s="2">
        <v>0.45600000000000002</v>
      </c>
      <c r="I119" s="2">
        <v>0.37</v>
      </c>
      <c r="J119" s="2">
        <v>6.77</v>
      </c>
      <c r="K119" s="2">
        <v>268.7</v>
      </c>
      <c r="L119" s="2">
        <v>214.6</v>
      </c>
      <c r="M119" s="2">
        <v>0.83699999999999997</v>
      </c>
      <c r="N119" s="2">
        <v>0.82699999999999996</v>
      </c>
      <c r="O119" s="2">
        <v>143</v>
      </c>
      <c r="P119" s="2">
        <v>208.2</v>
      </c>
      <c r="Q119" s="2">
        <v>24.5</v>
      </c>
      <c r="R119" s="2">
        <v>36.5</v>
      </c>
      <c r="S119" s="2">
        <v>12</v>
      </c>
      <c r="T119" s="2">
        <v>155.41</v>
      </c>
      <c r="U119" s="2">
        <v>357.6</v>
      </c>
      <c r="V119" s="2">
        <v>476.9</v>
      </c>
      <c r="W119" s="2">
        <v>-0.38</v>
      </c>
      <c r="X119" s="2" t="s">
        <v>168</v>
      </c>
    </row>
    <row r="120" spans="1:24" x14ac:dyDescent="0.3">
      <c r="A120" s="2" cm="1">
        <f t="array" ref="A120">CountByColumnLogic(C120:X120)</f>
        <v>16</v>
      </c>
      <c r="B120" t="s">
        <v>140</v>
      </c>
      <c r="C120" s="2">
        <v>5.6</v>
      </c>
      <c r="D120" s="2">
        <v>63</v>
      </c>
      <c r="E120" s="2">
        <v>54.6</v>
      </c>
      <c r="F120" s="2">
        <v>50</v>
      </c>
      <c r="G120" s="2">
        <v>83</v>
      </c>
      <c r="H120" s="2">
        <v>0.49</v>
      </c>
      <c r="I120" s="2">
        <v>0.38</v>
      </c>
      <c r="J120" s="2">
        <v>7.31</v>
      </c>
      <c r="K120" s="2">
        <v>296.7</v>
      </c>
      <c r="L120" s="2">
        <v>308.10000000000002</v>
      </c>
      <c r="M120" s="2">
        <v>0.877</v>
      </c>
      <c r="N120" s="2">
        <v>0.90300000000000002</v>
      </c>
      <c r="O120" s="2">
        <v>152.1</v>
      </c>
      <c r="P120" s="2">
        <v>166</v>
      </c>
      <c r="Q120" s="2">
        <v>34.799999999999997</v>
      </c>
      <c r="R120" s="2">
        <v>37.6</v>
      </c>
      <c r="S120" s="2">
        <v>2.8</v>
      </c>
      <c r="T120" s="2">
        <v>138.11000000000001</v>
      </c>
      <c r="U120" s="2">
        <v>460.2</v>
      </c>
      <c r="V120" s="2">
        <v>462.7</v>
      </c>
      <c r="W120" s="2">
        <v>0.08</v>
      </c>
      <c r="X120" s="2" t="s">
        <v>168</v>
      </c>
    </row>
    <row r="121" spans="1:24" x14ac:dyDescent="0.3">
      <c r="A121" s="2" cm="1">
        <f t="array" ref="A121">CountByColumnLogic(C121:X121)</f>
        <v>19</v>
      </c>
      <c r="B121" t="s">
        <v>141</v>
      </c>
      <c r="C121" s="2">
        <v>-4.3</v>
      </c>
      <c r="D121" s="2">
        <v>127</v>
      </c>
      <c r="E121" s="2">
        <v>44.9</v>
      </c>
      <c r="F121" s="2">
        <v>104</v>
      </c>
      <c r="G121" s="2">
        <v>56</v>
      </c>
      <c r="H121" s="2">
        <v>0.35299999999999998</v>
      </c>
      <c r="I121" s="2">
        <v>0.38200000000000001</v>
      </c>
      <c r="J121" s="2">
        <v>6.38</v>
      </c>
      <c r="K121" s="2">
        <v>254.2</v>
      </c>
      <c r="L121" s="2">
        <v>207.9</v>
      </c>
      <c r="M121" s="2">
        <v>0.90200000000000002</v>
      </c>
      <c r="N121" s="2">
        <v>0.74</v>
      </c>
      <c r="O121" s="2">
        <v>150.69999999999999</v>
      </c>
      <c r="P121" s="2">
        <v>115.7</v>
      </c>
      <c r="Q121" s="2">
        <v>23.2</v>
      </c>
      <c r="R121" s="2">
        <v>28.3</v>
      </c>
      <c r="S121" s="2">
        <v>5.0999999999999996</v>
      </c>
      <c r="T121" s="2">
        <v>139.08000000000001</v>
      </c>
      <c r="U121" s="2">
        <v>358.6</v>
      </c>
      <c r="V121" s="2">
        <v>369.9</v>
      </c>
      <c r="W121" s="2">
        <v>0.08</v>
      </c>
      <c r="X121" s="2" t="s">
        <v>168</v>
      </c>
    </row>
    <row r="122" spans="1:24" x14ac:dyDescent="0.3">
      <c r="A122" s="2" cm="1">
        <f t="array" ref="A122">CountByColumnLogic(C122:X122)</f>
        <v>17</v>
      </c>
      <c r="B122" t="s">
        <v>142</v>
      </c>
      <c r="C122" s="2">
        <v>-7.4</v>
      </c>
      <c r="D122" s="2">
        <v>107</v>
      </c>
      <c r="E122" s="2">
        <v>31.1</v>
      </c>
      <c r="F122" s="2">
        <v>79</v>
      </c>
      <c r="G122" s="2">
        <v>112</v>
      </c>
      <c r="H122" s="2">
        <v>0.503</v>
      </c>
      <c r="I122" s="2">
        <v>0.36599999999999999</v>
      </c>
      <c r="J122" s="2">
        <v>6.67</v>
      </c>
      <c r="K122" s="2">
        <v>213</v>
      </c>
      <c r="L122" s="2">
        <v>221.6</v>
      </c>
      <c r="M122" s="2">
        <v>0.90700000000000003</v>
      </c>
      <c r="N122" s="2">
        <v>0.94599999999999995</v>
      </c>
      <c r="O122" s="2">
        <v>145.30000000000001</v>
      </c>
      <c r="P122" s="2">
        <v>156.19999999999999</v>
      </c>
      <c r="Q122" s="2">
        <v>28.4</v>
      </c>
      <c r="R122" s="2">
        <v>26</v>
      </c>
      <c r="S122" s="2">
        <v>-2.4</v>
      </c>
      <c r="T122" s="2">
        <v>141.30000000000001</v>
      </c>
      <c r="U122" s="2">
        <v>366.9</v>
      </c>
      <c r="V122" s="2">
        <v>369.2</v>
      </c>
      <c r="W122" s="2">
        <v>-0.57999999999999996</v>
      </c>
      <c r="X122" s="2" t="s">
        <v>168</v>
      </c>
    </row>
    <row r="123" spans="1:24" x14ac:dyDescent="0.3">
      <c r="A123" s="2" cm="1">
        <f t="array" ref="A123">CountByColumnLogic(C123:X123)</f>
        <v>8</v>
      </c>
      <c r="B123" t="s">
        <v>143</v>
      </c>
      <c r="C123" s="2">
        <v>9.1999999999999993</v>
      </c>
      <c r="D123" s="2">
        <v>81</v>
      </c>
      <c r="E123" s="2">
        <v>67.5</v>
      </c>
      <c r="F123" s="2">
        <v>42</v>
      </c>
      <c r="G123" s="2">
        <v>31</v>
      </c>
      <c r="H123" s="2">
        <v>0.503</v>
      </c>
      <c r="I123" s="2">
        <v>0.33</v>
      </c>
      <c r="J123" s="2">
        <v>6.14</v>
      </c>
      <c r="K123" s="2">
        <v>209.4</v>
      </c>
      <c r="L123" s="2">
        <v>177.7</v>
      </c>
      <c r="M123" s="2">
        <v>0.84099999999999997</v>
      </c>
      <c r="N123" s="2">
        <v>0.86199999999999999</v>
      </c>
      <c r="O123" s="2">
        <v>145.80000000000001</v>
      </c>
      <c r="P123" s="2">
        <v>195.6</v>
      </c>
      <c r="Q123" s="2">
        <v>20.6</v>
      </c>
      <c r="R123" s="2">
        <v>35.1</v>
      </c>
      <c r="S123" s="2">
        <v>14.5</v>
      </c>
      <c r="T123" s="2">
        <v>157.36000000000001</v>
      </c>
      <c r="U123" s="2">
        <v>323.5</v>
      </c>
      <c r="V123" s="2">
        <v>405</v>
      </c>
      <c r="W123" s="2">
        <v>0.5</v>
      </c>
      <c r="X123" s="2" t="s">
        <v>168</v>
      </c>
    </row>
    <row r="124" spans="1:24" x14ac:dyDescent="0.3">
      <c r="A124" s="2" cm="1">
        <f t="array" ref="A124">CountByColumnLogic(C124:X124)</f>
        <v>19</v>
      </c>
      <c r="B124" t="s">
        <v>144</v>
      </c>
      <c r="C124" s="2">
        <v>-22.7</v>
      </c>
      <c r="D124" s="2">
        <v>132</v>
      </c>
      <c r="E124" s="2">
        <v>10.6</v>
      </c>
      <c r="F124" s="2">
        <v>130</v>
      </c>
      <c r="G124" s="2">
        <v>129</v>
      </c>
      <c r="H124" s="2">
        <v>0.36699999999999999</v>
      </c>
      <c r="I124" s="2">
        <v>0.43099999999999999</v>
      </c>
      <c r="J124" s="2">
        <v>5.92</v>
      </c>
      <c r="K124" s="2">
        <v>238.6</v>
      </c>
      <c r="L124" s="2">
        <v>316</v>
      </c>
      <c r="M124" s="2">
        <v>0.90500000000000003</v>
      </c>
      <c r="N124" s="2">
        <v>0.71099999999999997</v>
      </c>
      <c r="O124" s="2">
        <v>180.8</v>
      </c>
      <c r="P124" s="2">
        <v>151.1</v>
      </c>
      <c r="Q124" s="2">
        <v>42</v>
      </c>
      <c r="R124" s="2">
        <v>25</v>
      </c>
      <c r="S124" s="2">
        <v>-17</v>
      </c>
      <c r="T124" s="2">
        <v>123.38</v>
      </c>
      <c r="U124" s="2">
        <v>496.8</v>
      </c>
      <c r="V124" s="2">
        <v>389.7</v>
      </c>
      <c r="W124" s="2">
        <v>-0.5</v>
      </c>
      <c r="X124" s="2" t="s">
        <v>168</v>
      </c>
    </row>
    <row r="125" spans="1:24" x14ac:dyDescent="0.3">
      <c r="A125" s="2" cm="1">
        <f t="array" ref="A125">CountByColumnLogic(C125:X125)</f>
        <v>18</v>
      </c>
      <c r="B125" t="s">
        <v>145</v>
      </c>
      <c r="C125" s="2">
        <v>-12.5</v>
      </c>
      <c r="D125" s="2">
        <v>102</v>
      </c>
      <c r="E125" s="2">
        <v>27.8</v>
      </c>
      <c r="F125" s="2">
        <v>115</v>
      </c>
      <c r="G125" s="2">
        <v>111</v>
      </c>
      <c r="H125" s="2">
        <v>0.38</v>
      </c>
      <c r="I125" s="2">
        <v>0.41399999999999998</v>
      </c>
      <c r="J125" s="2">
        <v>8.17</v>
      </c>
      <c r="K125" s="2">
        <v>261.60000000000002</v>
      </c>
      <c r="L125" s="2">
        <v>180.3</v>
      </c>
      <c r="M125" s="2">
        <v>0.85699999999999998</v>
      </c>
      <c r="N125" s="2">
        <v>0.79500000000000004</v>
      </c>
      <c r="O125" s="2">
        <v>212.9</v>
      </c>
      <c r="P125" s="2">
        <v>130.9</v>
      </c>
      <c r="Q125" s="2">
        <v>34.299999999999997</v>
      </c>
      <c r="R125" s="2">
        <v>26.2</v>
      </c>
      <c r="S125" s="2">
        <v>-8.1</v>
      </c>
      <c r="T125" s="2">
        <v>133.38</v>
      </c>
      <c r="U125" s="2">
        <v>393.3</v>
      </c>
      <c r="V125" s="2">
        <v>392.5</v>
      </c>
      <c r="W125" s="2">
        <v>-1</v>
      </c>
      <c r="X125" s="2" t="s">
        <v>168</v>
      </c>
    </row>
    <row r="126" spans="1:24" x14ac:dyDescent="0.3">
      <c r="A126" s="2" cm="1">
        <f t="array" ref="A126">CountByColumnLogic(C126:X126)</f>
        <v>14</v>
      </c>
      <c r="B126" t="s">
        <v>146</v>
      </c>
      <c r="C126" s="2">
        <v>5.5</v>
      </c>
      <c r="D126" s="2">
        <v>52</v>
      </c>
      <c r="E126" s="2">
        <v>53.2</v>
      </c>
      <c r="F126" s="2">
        <v>43</v>
      </c>
      <c r="G126" s="2">
        <v>67</v>
      </c>
      <c r="H126" s="2">
        <v>0.41599999999999998</v>
      </c>
      <c r="I126" s="2">
        <v>0.42799999999999999</v>
      </c>
      <c r="J126" s="2">
        <v>6.5</v>
      </c>
      <c r="K126" s="2">
        <v>199.7</v>
      </c>
      <c r="L126" s="2">
        <v>218.7</v>
      </c>
      <c r="M126" s="2">
        <v>0.90900000000000003</v>
      </c>
      <c r="N126" s="2">
        <v>0.86699999999999999</v>
      </c>
      <c r="O126" s="2">
        <v>120.3</v>
      </c>
      <c r="P126" s="2">
        <v>248.1</v>
      </c>
      <c r="Q126" s="2">
        <v>26.9</v>
      </c>
      <c r="R126" s="2">
        <v>30.4</v>
      </c>
      <c r="S126" s="2">
        <v>3.5</v>
      </c>
      <c r="T126" s="2">
        <v>130.69999999999999</v>
      </c>
      <c r="U126" s="2">
        <v>339</v>
      </c>
      <c r="V126" s="2">
        <v>447.8</v>
      </c>
      <c r="W126" s="2">
        <v>-0.67</v>
      </c>
      <c r="X126" s="2" t="s">
        <v>168</v>
      </c>
    </row>
    <row r="127" spans="1:24" x14ac:dyDescent="0.3">
      <c r="A127" s="2" cm="1">
        <f t="array" ref="A127">CountByColumnLogic(C127:X127)</f>
        <v>17</v>
      </c>
      <c r="B127" t="s">
        <v>147</v>
      </c>
      <c r="C127" s="2">
        <v>3.2</v>
      </c>
      <c r="D127" s="2">
        <v>18</v>
      </c>
      <c r="E127" s="2">
        <v>54.1</v>
      </c>
      <c r="F127" s="2">
        <v>64</v>
      </c>
      <c r="G127" s="2">
        <v>52</v>
      </c>
      <c r="H127" s="2">
        <v>0.42699999999999999</v>
      </c>
      <c r="I127" s="2">
        <v>0.48399999999999999</v>
      </c>
      <c r="J127" s="2">
        <v>8.17</v>
      </c>
      <c r="K127" s="2">
        <v>242.2</v>
      </c>
      <c r="L127" s="2">
        <v>244.7</v>
      </c>
      <c r="M127" s="2">
        <v>0.93500000000000005</v>
      </c>
      <c r="N127" s="2">
        <v>0.81100000000000005</v>
      </c>
      <c r="O127" s="2">
        <v>96.2</v>
      </c>
      <c r="P127" s="2">
        <v>86.6</v>
      </c>
      <c r="Q127" s="2">
        <v>25.3</v>
      </c>
      <c r="R127" s="2">
        <v>18.399999999999999</v>
      </c>
      <c r="S127" s="2">
        <v>-6.9</v>
      </c>
      <c r="T127" s="2">
        <v>134.97999999999999</v>
      </c>
      <c r="U127" s="2">
        <v>340.8</v>
      </c>
      <c r="V127" s="2">
        <v>328.8</v>
      </c>
      <c r="W127" s="2">
        <v>-0.33</v>
      </c>
      <c r="X127" s="2" t="s">
        <v>168</v>
      </c>
    </row>
    <row r="128" spans="1:24" x14ac:dyDescent="0.3">
      <c r="A128" s="2" cm="1">
        <f t="array" ref="A128">CountByColumnLogic(C128:X128)</f>
        <v>11</v>
      </c>
      <c r="B128" t="s">
        <v>148</v>
      </c>
      <c r="C128" s="2">
        <v>-2.1</v>
      </c>
      <c r="D128" s="2">
        <v>125</v>
      </c>
      <c r="E128" s="2">
        <v>49.3</v>
      </c>
      <c r="F128" s="2">
        <v>98</v>
      </c>
      <c r="G128" s="2">
        <v>47</v>
      </c>
      <c r="H128" s="2">
        <v>0.38400000000000001</v>
      </c>
      <c r="I128" s="2">
        <v>0.29699999999999999</v>
      </c>
      <c r="J128" s="2">
        <v>5.31</v>
      </c>
      <c r="K128" s="2">
        <v>198.4</v>
      </c>
      <c r="L128" s="2">
        <v>215</v>
      </c>
      <c r="M128" s="2">
        <v>0.83699999999999997</v>
      </c>
      <c r="N128" s="2">
        <v>0.93200000000000005</v>
      </c>
      <c r="O128" s="2">
        <v>132.30000000000001</v>
      </c>
      <c r="P128" s="2">
        <v>199.2</v>
      </c>
      <c r="Q128" s="2">
        <v>23.1</v>
      </c>
      <c r="R128" s="2">
        <v>31.9</v>
      </c>
      <c r="S128" s="2">
        <v>8.8000000000000007</v>
      </c>
      <c r="T128" s="2">
        <v>127.05</v>
      </c>
      <c r="U128" s="2">
        <v>347.3</v>
      </c>
      <c r="V128" s="2">
        <v>397.6</v>
      </c>
      <c r="W128" s="2">
        <v>-0.08</v>
      </c>
      <c r="X128" s="2" t="s">
        <v>168</v>
      </c>
    </row>
    <row r="129" spans="1:24" x14ac:dyDescent="0.3">
      <c r="A129" s="2" cm="1">
        <f t="array" ref="A129">CountByColumnLogic(C129:X129)</f>
        <v>18</v>
      </c>
      <c r="B129" t="s">
        <v>149</v>
      </c>
      <c r="C129" s="2">
        <v>-11.4</v>
      </c>
      <c r="D129" s="2">
        <v>69</v>
      </c>
      <c r="E129" s="2">
        <v>32.9</v>
      </c>
      <c r="F129" s="2">
        <v>108</v>
      </c>
      <c r="G129" s="2">
        <v>89</v>
      </c>
      <c r="H129" s="2">
        <v>0.32700000000000001</v>
      </c>
      <c r="I129" s="2">
        <v>0.435</v>
      </c>
      <c r="J129" s="2">
        <v>5.92</v>
      </c>
      <c r="K129" s="2">
        <v>134.80000000000001</v>
      </c>
      <c r="L129" s="2">
        <v>183.9</v>
      </c>
      <c r="M129" s="2">
        <v>0.91100000000000003</v>
      </c>
      <c r="N129" s="2">
        <v>0.92900000000000005</v>
      </c>
      <c r="O129" s="2">
        <v>200.1</v>
      </c>
      <c r="P129" s="2">
        <v>169.7</v>
      </c>
      <c r="Q129" s="2">
        <v>28.3</v>
      </c>
      <c r="R129" s="2">
        <v>21</v>
      </c>
      <c r="S129" s="2">
        <v>-7.3</v>
      </c>
      <c r="T129" s="2">
        <v>114.69</v>
      </c>
      <c r="U129" s="2">
        <v>384</v>
      </c>
      <c r="V129" s="2">
        <v>304.39999999999998</v>
      </c>
      <c r="W129" s="2">
        <v>-0.08</v>
      </c>
      <c r="X129" s="2" t="s">
        <v>168</v>
      </c>
    </row>
    <row r="130" spans="1:24" x14ac:dyDescent="0.3">
      <c r="A130" s="2" cm="1">
        <f t="array" ref="A130">CountByColumnLogic(C130:X130)</f>
        <v>9</v>
      </c>
      <c r="B130" t="s">
        <v>150</v>
      </c>
      <c r="C130" s="2">
        <v>6.6</v>
      </c>
      <c r="D130" s="2">
        <v>87</v>
      </c>
      <c r="E130" s="2">
        <v>71.3</v>
      </c>
      <c r="F130" s="2">
        <v>53</v>
      </c>
      <c r="G130" s="2">
        <v>17</v>
      </c>
      <c r="H130" s="2">
        <v>0.40100000000000002</v>
      </c>
      <c r="I130" s="2">
        <v>0.32300000000000001</v>
      </c>
      <c r="J130" s="2">
        <v>5.57</v>
      </c>
      <c r="K130" s="2">
        <v>172.6</v>
      </c>
      <c r="L130" s="2">
        <v>235.9</v>
      </c>
      <c r="M130" s="2">
        <v>0.81599999999999995</v>
      </c>
      <c r="N130" s="2">
        <v>0.80300000000000005</v>
      </c>
      <c r="O130" s="2">
        <v>115</v>
      </c>
      <c r="P130" s="2">
        <v>243.5</v>
      </c>
      <c r="Q130" s="2">
        <v>21.3</v>
      </c>
      <c r="R130" s="2">
        <v>35.4</v>
      </c>
      <c r="S130" s="2">
        <v>14.1</v>
      </c>
      <c r="T130" s="2">
        <v>146.13</v>
      </c>
      <c r="U130" s="2">
        <v>350.9</v>
      </c>
      <c r="V130" s="2">
        <v>416.1</v>
      </c>
      <c r="W130" s="2">
        <v>1</v>
      </c>
      <c r="X130" s="2" t="s">
        <v>168</v>
      </c>
    </row>
    <row r="131" spans="1:24" x14ac:dyDescent="0.3">
      <c r="A131" s="2" cm="1">
        <f t="array" ref="A131">CountByColumnLogic(C131:X131)</f>
        <v>12</v>
      </c>
      <c r="B131" t="s">
        <v>151</v>
      </c>
      <c r="C131" s="2">
        <v>14</v>
      </c>
      <c r="D131" s="2">
        <v>27</v>
      </c>
      <c r="E131" s="2">
        <v>72.099999999999994</v>
      </c>
      <c r="F131" s="2">
        <v>18</v>
      </c>
      <c r="G131" s="2">
        <v>43</v>
      </c>
      <c r="H131" s="2">
        <v>0.44800000000000001</v>
      </c>
      <c r="I131" s="2">
        <v>0.33500000000000002</v>
      </c>
      <c r="J131" s="2">
        <v>5.77</v>
      </c>
      <c r="K131" s="2">
        <v>291.89999999999998</v>
      </c>
      <c r="L131" s="2">
        <v>235.8</v>
      </c>
      <c r="M131" s="2">
        <v>0.83</v>
      </c>
      <c r="N131" s="2">
        <v>0.89100000000000001</v>
      </c>
      <c r="O131" s="2">
        <v>141.19999999999999</v>
      </c>
      <c r="P131" s="2">
        <v>145.30000000000001</v>
      </c>
      <c r="Q131" s="2">
        <v>24.1</v>
      </c>
      <c r="R131" s="2">
        <v>30.2</v>
      </c>
      <c r="S131" s="2">
        <v>6.1</v>
      </c>
      <c r="T131" s="2">
        <v>134.72999999999999</v>
      </c>
      <c r="U131" s="2">
        <v>377.1</v>
      </c>
      <c r="V131" s="2">
        <v>437.2</v>
      </c>
      <c r="W131" s="2">
        <v>-0.23</v>
      </c>
      <c r="X131" s="2">
        <v>23</v>
      </c>
    </row>
    <row r="132" spans="1:24" x14ac:dyDescent="0.3">
      <c r="A132" s="2" cm="1">
        <f t="array" ref="A132">CountByColumnLogic(C132:X132)</f>
        <v>17</v>
      </c>
      <c r="B132" t="s">
        <v>152</v>
      </c>
      <c r="C132" s="2">
        <v>-10.8</v>
      </c>
      <c r="D132" s="2">
        <v>93</v>
      </c>
      <c r="E132" s="2">
        <v>25.7</v>
      </c>
      <c r="F132" s="2">
        <v>83</v>
      </c>
      <c r="G132" s="2">
        <v>126</v>
      </c>
      <c r="H132" s="2">
        <v>0.4</v>
      </c>
      <c r="I132" s="2">
        <v>0.438</v>
      </c>
      <c r="J132" s="2">
        <v>7.83</v>
      </c>
      <c r="K132" s="2">
        <v>269.10000000000002</v>
      </c>
      <c r="L132" s="2">
        <v>255.6</v>
      </c>
      <c r="M132" s="2">
        <v>0.93100000000000005</v>
      </c>
      <c r="N132" s="2">
        <v>0.85399999999999998</v>
      </c>
      <c r="O132" s="2">
        <v>214.5</v>
      </c>
      <c r="P132" s="2">
        <v>198.6</v>
      </c>
      <c r="Q132" s="2">
        <v>37.799999999999997</v>
      </c>
      <c r="R132" s="2">
        <v>31.9</v>
      </c>
      <c r="S132" s="2">
        <v>-5.9</v>
      </c>
      <c r="T132" s="2">
        <v>136.88999999999999</v>
      </c>
      <c r="U132" s="2">
        <v>470.1</v>
      </c>
      <c r="V132" s="2">
        <v>467.7</v>
      </c>
      <c r="W132" s="2">
        <v>-0.5</v>
      </c>
      <c r="X132" s="2" t="s">
        <v>168</v>
      </c>
    </row>
    <row r="133" spans="1:24" x14ac:dyDescent="0.3">
      <c r="A133" s="2" cm="1">
        <f t="array" ref="A133">CountByColumnLogic(C133:X133)</f>
        <v>12</v>
      </c>
      <c r="B133" t="s">
        <v>153</v>
      </c>
      <c r="C133" s="2">
        <v>5.3</v>
      </c>
      <c r="D133" s="2">
        <v>72</v>
      </c>
      <c r="E133" s="2">
        <v>60.2</v>
      </c>
      <c r="F133" s="2">
        <v>111</v>
      </c>
      <c r="G133" s="2">
        <v>8</v>
      </c>
      <c r="H133" s="2">
        <v>0.32700000000000001</v>
      </c>
      <c r="I133" s="2">
        <v>0.27400000000000002</v>
      </c>
      <c r="J133" s="2">
        <v>5.42</v>
      </c>
      <c r="K133" s="2">
        <v>199.4</v>
      </c>
      <c r="L133" s="2">
        <v>200.3</v>
      </c>
      <c r="M133" s="2">
        <v>0.80600000000000005</v>
      </c>
      <c r="N133" s="2">
        <v>0.872</v>
      </c>
      <c r="O133" s="2">
        <v>129.4</v>
      </c>
      <c r="P133" s="2">
        <v>130.4</v>
      </c>
      <c r="Q133" s="2">
        <v>20.7</v>
      </c>
      <c r="R133" s="2">
        <v>23.6</v>
      </c>
      <c r="S133" s="2">
        <v>2.9</v>
      </c>
      <c r="T133" s="2">
        <v>120.67</v>
      </c>
      <c r="U133" s="2">
        <v>329.7</v>
      </c>
      <c r="V133" s="2">
        <v>329.8</v>
      </c>
      <c r="W133" s="2">
        <v>-0.33</v>
      </c>
      <c r="X133" s="2">
        <v>12</v>
      </c>
    </row>
    <row r="134" spans="1:24" x14ac:dyDescent="0.3">
      <c r="A134" s="2" cm="1">
        <f t="array" ref="A134">CountByColumnLogic(C134:X134)</f>
        <v>18</v>
      </c>
      <c r="B134" t="s">
        <v>154</v>
      </c>
      <c r="C134" s="2">
        <v>-19.600000000000001</v>
      </c>
      <c r="D134" s="2">
        <v>94</v>
      </c>
      <c r="E134" s="2">
        <v>17.600000000000001</v>
      </c>
      <c r="F134" s="2">
        <v>132</v>
      </c>
      <c r="G134" s="2">
        <v>103</v>
      </c>
      <c r="H134" s="2">
        <v>0.33</v>
      </c>
      <c r="I134" s="2">
        <v>0.4</v>
      </c>
      <c r="J134" s="2">
        <v>5.67</v>
      </c>
      <c r="K134" s="2">
        <v>200</v>
      </c>
      <c r="L134" s="2">
        <v>223.2</v>
      </c>
      <c r="M134" s="2">
        <v>0.80400000000000005</v>
      </c>
      <c r="N134" s="2">
        <v>0.70399999999999996</v>
      </c>
      <c r="O134" s="2">
        <v>179.3</v>
      </c>
      <c r="P134" s="2">
        <v>120.8</v>
      </c>
      <c r="Q134" s="2">
        <v>32.299999999999997</v>
      </c>
      <c r="R134" s="2">
        <v>19.5</v>
      </c>
      <c r="S134" s="2">
        <v>-12.8</v>
      </c>
      <c r="T134" s="2">
        <v>123.32</v>
      </c>
      <c r="U134" s="2">
        <v>402.5</v>
      </c>
      <c r="V134" s="2">
        <v>320.8</v>
      </c>
      <c r="W134" s="2">
        <v>-0.08</v>
      </c>
      <c r="X134" s="2" t="s">
        <v>168</v>
      </c>
    </row>
    <row r="135" spans="1:24" x14ac:dyDescent="0.3">
      <c r="A135" s="2" cm="1">
        <f t="array" ref="A135">CountByColumnLogic(C135:X135)</f>
        <v>13</v>
      </c>
      <c r="B135" t="s">
        <v>155</v>
      </c>
      <c r="C135" s="2">
        <v>-3.7</v>
      </c>
      <c r="D135" s="2">
        <v>76</v>
      </c>
      <c r="E135" s="2">
        <v>43.6</v>
      </c>
      <c r="F135" s="2">
        <v>93</v>
      </c>
      <c r="G135" s="2">
        <v>70</v>
      </c>
      <c r="H135" s="2">
        <v>0.40699999999999997</v>
      </c>
      <c r="I135" s="2">
        <v>0.311</v>
      </c>
      <c r="J135" s="2">
        <v>8.69</v>
      </c>
      <c r="K135" s="2">
        <v>283.5</v>
      </c>
      <c r="L135" s="2">
        <v>265.8</v>
      </c>
      <c r="M135" s="2">
        <v>0.77300000000000002</v>
      </c>
      <c r="N135" s="2">
        <v>0.877</v>
      </c>
      <c r="O135" s="2">
        <v>109.3</v>
      </c>
      <c r="P135" s="2">
        <v>167.7</v>
      </c>
      <c r="Q135" s="2">
        <v>30.1</v>
      </c>
      <c r="R135" s="2">
        <v>33.200000000000003</v>
      </c>
      <c r="S135" s="2">
        <v>3.1</v>
      </c>
      <c r="T135" s="2">
        <v>135.49</v>
      </c>
      <c r="U135" s="2">
        <v>375.2</v>
      </c>
      <c r="V135" s="2">
        <v>451.2</v>
      </c>
      <c r="W135" s="2">
        <v>0.08</v>
      </c>
      <c r="X135" s="2" t="s">
        <v>168</v>
      </c>
    </row>
    <row r="136" spans="1:24" x14ac:dyDescent="0.3">
      <c r="A136" s="2" cm="1">
        <f t="array" ref="A136">CountByColumnLogic(C136:X136)</f>
        <v>14</v>
      </c>
      <c r="B136" t="s">
        <v>156</v>
      </c>
      <c r="C136" s="2">
        <v>6.7</v>
      </c>
      <c r="D136" s="2">
        <v>17</v>
      </c>
      <c r="E136" s="2">
        <v>63.8</v>
      </c>
      <c r="F136" s="2">
        <v>28</v>
      </c>
      <c r="G136" s="2">
        <v>73</v>
      </c>
      <c r="H136" s="2">
        <v>0.44400000000000001</v>
      </c>
      <c r="I136" s="2">
        <v>0.47499999999999998</v>
      </c>
      <c r="J136" s="2">
        <v>5.62</v>
      </c>
      <c r="K136" s="2">
        <v>178.6</v>
      </c>
      <c r="L136" s="2">
        <v>235.7</v>
      </c>
      <c r="M136" s="2">
        <v>0.84199999999999997</v>
      </c>
      <c r="N136" s="2">
        <v>0.93300000000000005</v>
      </c>
      <c r="O136" s="2">
        <v>140.80000000000001</v>
      </c>
      <c r="P136" s="2">
        <v>139.80000000000001</v>
      </c>
      <c r="Q136" s="2">
        <v>23.4</v>
      </c>
      <c r="R136" s="2">
        <v>27.3</v>
      </c>
      <c r="S136" s="2">
        <v>3.9</v>
      </c>
      <c r="T136" s="2">
        <v>143.21</v>
      </c>
      <c r="U136" s="2">
        <v>376.5</v>
      </c>
      <c r="V136" s="2">
        <v>318.39999999999998</v>
      </c>
      <c r="W136" s="2">
        <v>0.69</v>
      </c>
      <c r="X136" s="2" t="s">
        <v>168</v>
      </c>
    </row>
    <row r="137" spans="1:24" x14ac:dyDescent="0.3">
      <c r="A137" s="2" cm="1">
        <f t="array" ref="A137">CountByColumnLogic(C137:X137)</f>
        <v>20</v>
      </c>
      <c r="B137" t="s">
        <v>157</v>
      </c>
      <c r="C137" s="2">
        <v>-1.9</v>
      </c>
      <c r="D137" s="2">
        <v>36</v>
      </c>
      <c r="E137" s="2">
        <v>45.5</v>
      </c>
      <c r="F137" s="2">
        <v>96</v>
      </c>
      <c r="G137" s="2">
        <v>66</v>
      </c>
      <c r="H137" s="2">
        <v>0.34300000000000003</v>
      </c>
      <c r="I137" s="2">
        <v>0.38600000000000001</v>
      </c>
      <c r="J137" s="2">
        <v>5.17</v>
      </c>
      <c r="K137" s="2">
        <v>229</v>
      </c>
      <c r="L137" s="2">
        <v>263.10000000000002</v>
      </c>
      <c r="M137" s="2">
        <v>0.88500000000000001</v>
      </c>
      <c r="N137" s="2">
        <v>0.79500000000000004</v>
      </c>
      <c r="O137" s="2">
        <v>145.30000000000001</v>
      </c>
      <c r="P137" s="2">
        <v>131.9</v>
      </c>
      <c r="Q137" s="2">
        <v>28.8</v>
      </c>
      <c r="R137" s="2">
        <v>22.7</v>
      </c>
      <c r="S137" s="2">
        <v>-6.1</v>
      </c>
      <c r="T137" s="2">
        <v>125.1</v>
      </c>
      <c r="U137" s="2">
        <v>408.3</v>
      </c>
      <c r="V137" s="2">
        <v>360.9</v>
      </c>
      <c r="W137" s="2">
        <v>-0.33</v>
      </c>
      <c r="X137" s="2" t="s">
        <v>168</v>
      </c>
    </row>
    <row r="138" spans="1:24" x14ac:dyDescent="0.3">
      <c r="A138" s="2" cm="1">
        <f t="array" ref="A138">CountByColumnLogic(C138:X138)</f>
        <v>17</v>
      </c>
      <c r="B138" t="s">
        <v>158</v>
      </c>
      <c r="C138" s="2">
        <v>7.9</v>
      </c>
      <c r="D138" s="2">
        <v>47</v>
      </c>
      <c r="E138" s="2">
        <v>66.900000000000006</v>
      </c>
      <c r="F138" s="2">
        <v>62</v>
      </c>
      <c r="G138" s="2">
        <v>22</v>
      </c>
      <c r="H138" s="2">
        <v>0.36499999999999999</v>
      </c>
      <c r="I138" s="2">
        <v>0.39400000000000002</v>
      </c>
      <c r="J138" s="2">
        <v>5.69</v>
      </c>
      <c r="K138" s="2">
        <v>189.4</v>
      </c>
      <c r="L138" s="2">
        <v>215.9</v>
      </c>
      <c r="M138" s="2">
        <v>0.71399999999999997</v>
      </c>
      <c r="N138" s="2">
        <v>0.80400000000000005</v>
      </c>
      <c r="O138" s="2">
        <v>147.1</v>
      </c>
      <c r="P138" s="2">
        <v>178.4</v>
      </c>
      <c r="Q138" s="2">
        <v>22.8</v>
      </c>
      <c r="R138" s="2">
        <v>28.2</v>
      </c>
      <c r="S138" s="2">
        <v>5.4</v>
      </c>
      <c r="T138" s="2">
        <v>129.29</v>
      </c>
      <c r="U138" s="2">
        <v>363</v>
      </c>
      <c r="V138" s="2">
        <v>367.8</v>
      </c>
      <c r="W138" s="2">
        <v>0.62</v>
      </c>
      <c r="X138" s="2" t="s">
        <v>168</v>
      </c>
    </row>
    <row r="139" spans="1:24" x14ac:dyDescent="0.3">
      <c r="A139" s="2" cm="1">
        <f t="array" ref="A139">CountByColumnLogic(C139:X139)</f>
        <v>18</v>
      </c>
      <c r="B139" t="s">
        <v>159</v>
      </c>
      <c r="C139" s="2">
        <v>-5.4</v>
      </c>
      <c r="D139" s="2">
        <v>60</v>
      </c>
      <c r="E139" s="2">
        <v>40.4</v>
      </c>
      <c r="F139" s="2">
        <v>74</v>
      </c>
      <c r="G139" s="2">
        <v>91</v>
      </c>
      <c r="H139" s="2">
        <v>0.39400000000000002</v>
      </c>
      <c r="I139" s="2">
        <v>0.432</v>
      </c>
      <c r="J139" s="2">
        <v>5.08</v>
      </c>
      <c r="K139" s="2">
        <v>240.1</v>
      </c>
      <c r="L139" s="2">
        <v>277.8</v>
      </c>
      <c r="M139" s="2">
        <v>0.93799999999999994</v>
      </c>
      <c r="N139" s="2">
        <v>0.83299999999999996</v>
      </c>
      <c r="O139" s="2">
        <v>157.19999999999999</v>
      </c>
      <c r="P139" s="2">
        <v>130.6</v>
      </c>
      <c r="Q139" s="2">
        <v>32.5</v>
      </c>
      <c r="R139" s="2">
        <v>25.7</v>
      </c>
      <c r="S139" s="2">
        <v>-6.8</v>
      </c>
      <c r="T139" s="2">
        <v>128.74</v>
      </c>
      <c r="U139" s="2">
        <v>435</v>
      </c>
      <c r="V139" s="2">
        <v>370.7</v>
      </c>
      <c r="W139" s="2">
        <v>-0.33</v>
      </c>
      <c r="X139" s="2" t="s">
        <v>168</v>
      </c>
    </row>
    <row r="140" spans="1:24" x14ac:dyDescent="0.3">
      <c r="A140" s="2" cm="1">
        <f t="array" ref="A140">CountByColumnLogic(C140:X140)</f>
        <v>12</v>
      </c>
      <c r="B140" t="s">
        <v>160</v>
      </c>
      <c r="C140" s="2">
        <v>6</v>
      </c>
      <c r="D140" s="2">
        <v>12</v>
      </c>
      <c r="E140" s="2">
        <v>59.4</v>
      </c>
      <c r="F140" s="2">
        <v>46</v>
      </c>
      <c r="G140" s="2">
        <v>45</v>
      </c>
      <c r="H140" s="2">
        <v>0.36799999999999999</v>
      </c>
      <c r="I140" s="2">
        <v>0.438</v>
      </c>
      <c r="J140" s="2">
        <v>5.85</v>
      </c>
      <c r="K140" s="2">
        <v>261.7</v>
      </c>
      <c r="L140" s="2">
        <v>166.5</v>
      </c>
      <c r="M140" s="2">
        <v>0.82199999999999995</v>
      </c>
      <c r="N140" s="2">
        <v>0.83</v>
      </c>
      <c r="O140" s="2">
        <v>161.80000000000001</v>
      </c>
      <c r="P140" s="2">
        <v>128.80000000000001</v>
      </c>
      <c r="Q140" s="2">
        <v>23.8</v>
      </c>
      <c r="R140" s="2">
        <v>23.4</v>
      </c>
      <c r="S140" s="2">
        <v>-0.4</v>
      </c>
      <c r="T140" s="2">
        <v>154.52000000000001</v>
      </c>
      <c r="U140" s="2">
        <v>328.4</v>
      </c>
      <c r="V140" s="2">
        <v>390.5</v>
      </c>
      <c r="W140" s="2">
        <v>0.15</v>
      </c>
      <c r="X140" s="2" t="s">
        <v>168</v>
      </c>
    </row>
    <row r="141" spans="1:24" x14ac:dyDescent="0.3">
      <c r="A141" s="2" cm="1">
        <f t="array" ref="A141">CountByColumnLogic(C141:X141)</f>
        <v>12</v>
      </c>
      <c r="B141" t="s">
        <v>161</v>
      </c>
      <c r="C141" s="2">
        <v>0.7</v>
      </c>
      <c r="D141" s="2">
        <v>105</v>
      </c>
      <c r="E141" s="2">
        <v>52</v>
      </c>
      <c r="F141" s="2">
        <v>33</v>
      </c>
      <c r="G141" s="2">
        <v>96</v>
      </c>
      <c r="H141" s="2">
        <v>0.42199999999999999</v>
      </c>
      <c r="I141" s="2">
        <v>0.38600000000000001</v>
      </c>
      <c r="J141" s="2">
        <v>6.15</v>
      </c>
      <c r="K141" s="2">
        <v>276.10000000000002</v>
      </c>
      <c r="L141" s="2">
        <v>270.5</v>
      </c>
      <c r="M141" s="2">
        <v>0.84299999999999997</v>
      </c>
      <c r="N141" s="2">
        <v>0.84</v>
      </c>
      <c r="O141" s="2">
        <v>172.1</v>
      </c>
      <c r="P141" s="2">
        <v>166.8</v>
      </c>
      <c r="Q141" s="2">
        <v>29.9</v>
      </c>
      <c r="R141" s="2">
        <v>36.6</v>
      </c>
      <c r="S141" s="2">
        <v>6.7</v>
      </c>
      <c r="T141" s="2">
        <v>164.25</v>
      </c>
      <c r="U141" s="2">
        <v>442.6</v>
      </c>
      <c r="V141" s="2">
        <v>442.8</v>
      </c>
      <c r="W141" s="2">
        <v>0.62</v>
      </c>
      <c r="X141" s="2" t="s">
        <v>168</v>
      </c>
    </row>
    <row r="142" spans="1:24" x14ac:dyDescent="0.3">
      <c r="A142" s="2" cm="1">
        <f t="array" ref="A142">CountByColumnLogic(C142:X142)</f>
        <v>16</v>
      </c>
      <c r="B142" t="s">
        <v>162</v>
      </c>
      <c r="C142" s="2">
        <v>1.6</v>
      </c>
      <c r="D142" s="2">
        <v>54</v>
      </c>
      <c r="E142" s="2">
        <v>50.4</v>
      </c>
      <c r="F142" s="2">
        <v>34</v>
      </c>
      <c r="G142" s="2">
        <v>113</v>
      </c>
      <c r="H142" s="2">
        <v>0.42599999999999999</v>
      </c>
      <c r="I142" s="2">
        <v>0.49399999999999999</v>
      </c>
      <c r="J142" s="2">
        <v>4.38</v>
      </c>
      <c r="K142" s="2">
        <v>210.3</v>
      </c>
      <c r="L142" s="2">
        <v>270.8</v>
      </c>
      <c r="M142" s="2">
        <v>0.875</v>
      </c>
      <c r="N142" s="2">
        <v>0.84899999999999998</v>
      </c>
      <c r="O142" s="2">
        <v>144.4</v>
      </c>
      <c r="P142" s="2">
        <v>193.7</v>
      </c>
      <c r="Q142" s="2">
        <v>31.9</v>
      </c>
      <c r="R142" s="2">
        <v>29.2</v>
      </c>
      <c r="S142" s="2">
        <v>-2.7</v>
      </c>
      <c r="T142" s="2">
        <v>133.06</v>
      </c>
      <c r="U142" s="2">
        <v>415.2</v>
      </c>
      <c r="V142" s="2">
        <v>404</v>
      </c>
      <c r="W142" s="2">
        <v>-0.62</v>
      </c>
      <c r="X142" s="2" t="s">
        <v>168</v>
      </c>
    </row>
    <row r="143" spans="1:24" x14ac:dyDescent="0.3">
      <c r="A143" s="2" cm="1">
        <f t="array" ref="A143">CountByColumnLogic(C143:X143)</f>
        <v>16</v>
      </c>
      <c r="B143" t="s">
        <v>163</v>
      </c>
      <c r="C143" s="2">
        <v>-7.9</v>
      </c>
      <c r="D143" s="2">
        <v>80</v>
      </c>
      <c r="E143" s="2">
        <v>41.8</v>
      </c>
      <c r="F143" s="2">
        <v>81</v>
      </c>
      <c r="G143" s="2">
        <v>93</v>
      </c>
      <c r="H143" s="2">
        <v>0.41499999999999998</v>
      </c>
      <c r="I143" s="2">
        <v>0.442</v>
      </c>
      <c r="J143" s="2">
        <v>4.1399999999999997</v>
      </c>
      <c r="K143" s="2">
        <v>264.60000000000002</v>
      </c>
      <c r="L143" s="2">
        <v>176.1</v>
      </c>
      <c r="M143" s="2">
        <v>0.79500000000000004</v>
      </c>
      <c r="N143" s="2">
        <v>0.76500000000000001</v>
      </c>
      <c r="O143" s="2">
        <v>221.2</v>
      </c>
      <c r="P143" s="2">
        <v>108.9</v>
      </c>
      <c r="Q143" s="2">
        <v>24.6</v>
      </c>
      <c r="R143" s="2">
        <v>24.9</v>
      </c>
      <c r="S143" s="2">
        <v>0.3</v>
      </c>
      <c r="T143" s="2">
        <v>146.51</v>
      </c>
      <c r="U143" s="2">
        <v>397.3</v>
      </c>
      <c r="V143" s="2">
        <v>373.5</v>
      </c>
      <c r="W143" s="2">
        <v>-0.28999999999999998</v>
      </c>
      <c r="X143" s="2" t="s">
        <v>168</v>
      </c>
    </row>
    <row r="144" spans="1:24" x14ac:dyDescent="0.3">
      <c r="A144" s="2" cm="1">
        <f t="array" ref="A144">CountByColumnLogic(C144:X144)</f>
        <v>17</v>
      </c>
      <c r="B144" t="s">
        <v>164</v>
      </c>
      <c r="C144" s="2">
        <v>-10.3</v>
      </c>
      <c r="D144" s="2">
        <v>70</v>
      </c>
      <c r="E144" s="2">
        <v>37.200000000000003</v>
      </c>
      <c r="F144" s="2">
        <v>60</v>
      </c>
      <c r="G144" s="2">
        <v>122</v>
      </c>
      <c r="H144" s="2">
        <v>0.35199999999999998</v>
      </c>
      <c r="I144" s="2">
        <v>0.42699999999999999</v>
      </c>
      <c r="J144" s="2">
        <v>4.1500000000000004</v>
      </c>
      <c r="K144" s="2">
        <v>187</v>
      </c>
      <c r="L144" s="2">
        <v>222.6</v>
      </c>
      <c r="M144" s="2">
        <v>0.91300000000000003</v>
      </c>
      <c r="N144" s="2">
        <v>0.90500000000000003</v>
      </c>
      <c r="O144" s="2">
        <v>192.5</v>
      </c>
      <c r="P144" s="2">
        <v>183</v>
      </c>
      <c r="Q144" s="2">
        <v>31.3</v>
      </c>
      <c r="R144" s="2">
        <v>28.9</v>
      </c>
      <c r="S144" s="2">
        <v>-2.4</v>
      </c>
      <c r="T144" s="2">
        <v>141.66999999999999</v>
      </c>
      <c r="U144" s="2">
        <v>415.1</v>
      </c>
      <c r="V144" s="2">
        <v>370</v>
      </c>
      <c r="W144" s="2">
        <v>0.62</v>
      </c>
      <c r="X144" s="2" t="s">
        <v>168</v>
      </c>
    </row>
    <row r="145" spans="1:24" x14ac:dyDescent="0.3">
      <c r="A145" s="2" cm="1">
        <f t="array" ref="A145">CountByColumnLogic(C145:X145)</f>
        <v>17</v>
      </c>
      <c r="B145" t="s">
        <v>165</v>
      </c>
      <c r="C145" s="2">
        <v>5.0999999999999996</v>
      </c>
      <c r="D145" s="2">
        <v>32</v>
      </c>
      <c r="E145" s="2">
        <v>54.9</v>
      </c>
      <c r="F145" s="2">
        <v>80</v>
      </c>
      <c r="G145" s="2">
        <v>40</v>
      </c>
      <c r="H145" s="2">
        <v>0.36099999999999999</v>
      </c>
      <c r="I145" s="2">
        <v>0.39200000000000002</v>
      </c>
      <c r="J145" s="2">
        <v>5.25</v>
      </c>
      <c r="K145" s="2">
        <v>196.7</v>
      </c>
      <c r="L145" s="2">
        <v>177.7</v>
      </c>
      <c r="M145" s="2">
        <v>0.875</v>
      </c>
      <c r="N145" s="2">
        <v>0.78</v>
      </c>
      <c r="O145" s="2">
        <v>165</v>
      </c>
      <c r="P145" s="2">
        <v>153.69999999999999</v>
      </c>
      <c r="Q145" s="2">
        <v>23.1</v>
      </c>
      <c r="R145" s="2">
        <v>22.6</v>
      </c>
      <c r="S145" s="2">
        <v>-0.5</v>
      </c>
      <c r="T145" s="2">
        <v>118.48</v>
      </c>
      <c r="U145" s="2">
        <v>342.7</v>
      </c>
      <c r="V145" s="2">
        <v>350.3</v>
      </c>
      <c r="W145" s="2">
        <v>-0.5</v>
      </c>
      <c r="X145" s="2" t="s">
        <v>168</v>
      </c>
    </row>
    <row r="146" spans="1:24" x14ac:dyDescent="0.3">
      <c r="A146" s="2" cm="1">
        <f t="array" ref="A146">CountByColumnLogic(C146:X146)</f>
        <v>18</v>
      </c>
      <c r="B146" t="s">
        <v>166</v>
      </c>
      <c r="C146" s="2">
        <v>-11.3</v>
      </c>
      <c r="D146" s="2">
        <v>97</v>
      </c>
      <c r="E146" s="2">
        <v>26.3</v>
      </c>
      <c r="F146" s="2">
        <v>124</v>
      </c>
      <c r="G146" s="2">
        <v>92</v>
      </c>
      <c r="H146" s="2">
        <v>0.36499999999999999</v>
      </c>
      <c r="I146" s="2">
        <v>0.25900000000000001</v>
      </c>
      <c r="J146" s="2">
        <v>5.5</v>
      </c>
      <c r="K146" s="2">
        <v>189.4</v>
      </c>
      <c r="L146" s="2">
        <v>218.9</v>
      </c>
      <c r="M146" s="2">
        <v>0.94699999999999995</v>
      </c>
      <c r="N146" s="2">
        <v>0.90600000000000003</v>
      </c>
      <c r="O146" s="2">
        <v>191.7</v>
      </c>
      <c r="P146" s="2">
        <v>137.80000000000001</v>
      </c>
      <c r="Q146" s="2">
        <v>28.3</v>
      </c>
      <c r="R146" s="2">
        <v>19.3</v>
      </c>
      <c r="S146" s="2">
        <v>-9</v>
      </c>
      <c r="T146" s="2">
        <v>111.31</v>
      </c>
      <c r="U146" s="2">
        <v>410.6</v>
      </c>
      <c r="V146" s="2">
        <v>327.3</v>
      </c>
      <c r="W146" s="2">
        <v>-0.42</v>
      </c>
      <c r="X146" s="2" t="s">
        <v>168</v>
      </c>
    </row>
  </sheetData>
  <autoFilter ref="A12:X12" xr:uid="{D6FB44F2-B665-45CB-8668-32AA138BC639}"/>
  <conditionalFormatting sqref="C13:C999">
    <cfRule type="cellIs" dxfId="15" priority="6" stopIfTrue="1" operator="greaterThanOrEqual">
      <formula>INDIRECT(ADDRESS(12, COLUMN()))</formula>
    </cfRule>
    <cfRule type="cellIs" dxfId="14" priority="7" stopIfTrue="1" operator="lessThan">
      <formula>INDIRECT(ADDRESS(12, COLUMN()))</formula>
    </cfRule>
  </conditionalFormatting>
  <conditionalFormatting sqref="E13:E999 H13:H999 K13:K999 N13:N999 P13:P999 R13:T999 V13:W999">
    <cfRule type="cellIs" dxfId="13" priority="4" stopIfTrue="1" operator="lessThan">
      <formula>INDIRECT(ADDRESS(12, COLUMN()))</formula>
    </cfRule>
    <cfRule type="cellIs" dxfId="12" priority="5" stopIfTrue="1" operator="greaterThanOrEqual">
      <formula>INDIRECT(ADDRESS(12, COLUMN()))</formula>
    </cfRule>
  </conditionalFormatting>
  <conditionalFormatting sqref="X13:X999 U13:U999 Q13:Q999 O13:O999 L13:M999 I13:J999 F13:G999 D13:D999">
    <cfRule type="cellIs" dxfId="11" priority="1" stopIfTrue="1" operator="greaterThan">
      <formula>INDIRECT(ADDRESS(12, COLUMN()))</formula>
    </cfRule>
    <cfRule type="cellIs" dxfId="10" priority="2" stopIfTrue="1" operator="lessThanOrEqual">
      <formula>INDIRECT(ADDRESS(12, COLUMN()))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3" stopIfTrue="1" operator="endsWith" id="{F81188CF-C0D8-4060-8742-6067EE52C036}">
            <xm:f>RIGHT(C13,LEN("-"))="-"</xm:f>
            <xm:f>"-"</xm:f>
            <x14:dxf>
              <font>
                <color auto="1"/>
              </font>
              <fill>
                <patternFill>
                  <fgColor theme="6" tint="0.79995117038483843"/>
                  <bgColor theme="5" tint="0.79998168889431442"/>
                </patternFill>
              </fill>
            </x14:dxf>
          </x14:cfRule>
          <xm:sqref>C13:X999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E5181-EDC4-4857-A253-35A7C4322306}">
  <sheetPr codeName="Sheet3"/>
  <dimension ref="A1:W96"/>
  <sheetViews>
    <sheetView topLeftCell="A84" workbookViewId="0">
      <selection activeCell="A90" sqref="A90"/>
    </sheetView>
  </sheetViews>
  <sheetFormatPr defaultRowHeight="14.4" zeroHeight="1" x14ac:dyDescent="0.3"/>
  <cols>
    <col min="1" max="1" width="14.6640625" style="2" bestFit="1" customWidth="1"/>
    <col min="2" max="2" width="15.44140625" bestFit="1" customWidth="1"/>
    <col min="3" max="3" width="9.44140625" style="2" bestFit="1" customWidth="1"/>
    <col min="4" max="4" width="7.44140625" style="2" bestFit="1" customWidth="1"/>
    <col min="5" max="6" width="9.44140625" style="2" bestFit="1" customWidth="1"/>
    <col min="7" max="7" width="10.44140625" style="2" bestFit="1" customWidth="1"/>
    <col min="8" max="8" width="13.109375" style="2" bestFit="1" customWidth="1"/>
    <col min="9" max="9" width="10.33203125" style="2" bestFit="1" customWidth="1"/>
    <col min="10" max="10" width="10.44140625" style="2" bestFit="1" customWidth="1"/>
    <col min="11" max="11" width="12.33203125" style="2" bestFit="1" customWidth="1"/>
    <col min="12" max="13" width="10.44140625" style="2" bestFit="1" customWidth="1"/>
    <col min="14" max="14" width="12.44140625" style="2" bestFit="1" customWidth="1"/>
    <col min="15" max="15" width="10.44140625" style="2" bestFit="1" customWidth="1"/>
    <col min="16" max="17" width="9.44140625" style="2" bestFit="1" customWidth="1"/>
    <col min="18" max="18" width="8.33203125" style="2" bestFit="1" customWidth="1"/>
    <col min="19" max="19" width="11.44140625" style="2" bestFit="1" customWidth="1"/>
    <col min="20" max="21" width="10.44140625" style="2" bestFit="1" customWidth="1"/>
    <col min="22" max="22" width="10.109375" style="2" bestFit="1" customWidth="1"/>
    <col min="23" max="23" width="6.44140625" style="2" bestFit="1" customWidth="1"/>
  </cols>
  <sheetData>
    <row r="1" spans="1:23" s="3" customFormat="1" x14ac:dyDescent="0.3">
      <c r="B1" s="4" t="s">
        <v>0</v>
      </c>
      <c r="C1" s="3" t="s">
        <v>1</v>
      </c>
      <c r="D1" s="3" t="s">
        <v>2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167</v>
      </c>
    </row>
    <row r="2" spans="1:23" x14ac:dyDescent="0.3">
      <c r="B2" t="s">
        <v>170</v>
      </c>
      <c r="C2" s="2">
        <v>33.200000000000003</v>
      </c>
      <c r="D2" s="2">
        <v>63</v>
      </c>
      <c r="E2" s="2">
        <v>93.5</v>
      </c>
      <c r="F2" s="2">
        <v>89.2</v>
      </c>
      <c r="G2" s="2">
        <v>0.52200000000000002</v>
      </c>
      <c r="H2" s="2">
        <v>0.32200000000000001</v>
      </c>
      <c r="I2" s="2">
        <v>5.64</v>
      </c>
      <c r="J2" s="2">
        <v>315.89999999999998</v>
      </c>
      <c r="K2" s="2">
        <v>156.6</v>
      </c>
      <c r="L2" s="2">
        <v>0.76700000000000002</v>
      </c>
      <c r="M2" s="2">
        <v>0.97299999999999998</v>
      </c>
      <c r="N2" s="2">
        <v>124.8</v>
      </c>
      <c r="O2" s="2">
        <v>203.1</v>
      </c>
      <c r="P2" s="2">
        <v>12.1</v>
      </c>
      <c r="Q2" s="2">
        <v>51.6</v>
      </c>
      <c r="R2" s="2">
        <v>39.5</v>
      </c>
      <c r="S2" s="2">
        <v>174.69</v>
      </c>
      <c r="T2" s="2">
        <v>281.39999999999998</v>
      </c>
      <c r="U2" s="2">
        <v>519.1</v>
      </c>
      <c r="V2" s="2">
        <v>1.21</v>
      </c>
      <c r="W2" s="2">
        <v>11</v>
      </c>
    </row>
    <row r="3" spans="1:23" x14ac:dyDescent="0.3">
      <c r="B3" t="s">
        <v>171</v>
      </c>
      <c r="C3" s="2">
        <v>25.7</v>
      </c>
      <c r="D3" s="2">
        <v>35</v>
      </c>
      <c r="E3" s="2">
        <v>87.5</v>
      </c>
      <c r="F3" s="2">
        <v>74.900000000000006</v>
      </c>
      <c r="G3" s="2">
        <v>0.52</v>
      </c>
      <c r="H3" s="2">
        <v>0.34399999999999997</v>
      </c>
      <c r="I3" s="2">
        <v>5.6</v>
      </c>
      <c r="J3" s="2">
        <v>247.1</v>
      </c>
      <c r="K3" s="2">
        <v>201.1</v>
      </c>
      <c r="L3" s="2">
        <v>0.84399999999999997</v>
      </c>
      <c r="M3" s="2">
        <v>0.85099999999999998</v>
      </c>
      <c r="N3" s="2">
        <v>141.30000000000001</v>
      </c>
      <c r="O3" s="2">
        <v>264.5</v>
      </c>
      <c r="P3" s="2">
        <v>22</v>
      </c>
      <c r="Q3" s="2">
        <v>44.8</v>
      </c>
      <c r="R3" s="2">
        <v>22.8</v>
      </c>
      <c r="S3" s="2">
        <v>167.72</v>
      </c>
      <c r="T3" s="2">
        <v>342.4</v>
      </c>
      <c r="U3" s="2">
        <v>511.6</v>
      </c>
      <c r="V3" s="2">
        <v>0.47</v>
      </c>
      <c r="W3" s="2">
        <v>5</v>
      </c>
    </row>
    <row r="4" spans="1:23" x14ac:dyDescent="0.3">
      <c r="B4" t="s">
        <v>172</v>
      </c>
      <c r="C4" s="2">
        <v>27.4</v>
      </c>
      <c r="D4" s="2">
        <v>1</v>
      </c>
      <c r="E4" s="2">
        <v>74.7</v>
      </c>
      <c r="F4" s="2">
        <v>91.6</v>
      </c>
      <c r="G4" s="2">
        <v>0.374</v>
      </c>
      <c r="H4" s="2">
        <v>0.28599999999999998</v>
      </c>
      <c r="I4" s="2">
        <v>5.93</v>
      </c>
      <c r="J4" s="2">
        <v>227.1</v>
      </c>
      <c r="K4" s="2">
        <v>200.6</v>
      </c>
      <c r="L4" s="2">
        <v>0.83299999999999996</v>
      </c>
      <c r="M4" s="2">
        <v>0.82299999999999995</v>
      </c>
      <c r="N4" s="2">
        <v>75.7</v>
      </c>
      <c r="O4" s="2">
        <v>199.9</v>
      </c>
      <c r="P4" s="2">
        <v>15.1</v>
      </c>
      <c r="Q4" s="2">
        <v>35.1</v>
      </c>
      <c r="R4" s="2">
        <v>20</v>
      </c>
      <c r="S4" s="2">
        <v>143.44999999999999</v>
      </c>
      <c r="T4" s="2">
        <v>276.3</v>
      </c>
      <c r="U4" s="2">
        <v>427.1</v>
      </c>
      <c r="V4" s="2">
        <v>0.67</v>
      </c>
      <c r="W4" s="2">
        <v>3</v>
      </c>
    </row>
    <row r="5" spans="1:23" x14ac:dyDescent="0.3">
      <c r="B5" t="s">
        <v>173</v>
      </c>
      <c r="C5" s="2">
        <v>27.6</v>
      </c>
      <c r="D5" s="2">
        <v>9</v>
      </c>
      <c r="E5" s="2">
        <v>81.8</v>
      </c>
      <c r="F5" s="2">
        <v>82.9</v>
      </c>
      <c r="G5" s="2">
        <v>0.502</v>
      </c>
      <c r="H5" s="2">
        <v>0.28100000000000003</v>
      </c>
      <c r="I5" s="2">
        <v>6.33</v>
      </c>
      <c r="J5" s="2">
        <v>333.9</v>
      </c>
      <c r="K5" s="2">
        <v>181.9</v>
      </c>
      <c r="L5" s="2">
        <v>0.78900000000000003</v>
      </c>
      <c r="M5" s="2">
        <v>0.84199999999999997</v>
      </c>
      <c r="N5" s="2">
        <v>129.6</v>
      </c>
      <c r="O5" s="2">
        <v>169.7</v>
      </c>
      <c r="P5" s="2">
        <v>18</v>
      </c>
      <c r="Q5" s="2">
        <v>39.200000000000003</v>
      </c>
      <c r="R5" s="2">
        <v>21.2</v>
      </c>
      <c r="S5" s="2">
        <v>152.19</v>
      </c>
      <c r="T5" s="2">
        <v>311.5</v>
      </c>
      <c r="U5" s="2">
        <v>503.7</v>
      </c>
      <c r="V5" s="2">
        <v>-7.0000000000000007E-2</v>
      </c>
      <c r="W5" s="2">
        <v>2</v>
      </c>
    </row>
    <row r="6" spans="1:23" x14ac:dyDescent="0.3">
      <c r="B6" t="s">
        <v>174</v>
      </c>
      <c r="C6" s="2">
        <v>28.4</v>
      </c>
      <c r="D6" s="2">
        <v>29</v>
      </c>
      <c r="E6" s="2">
        <v>86.4</v>
      </c>
      <c r="F6" s="2">
        <v>89.9</v>
      </c>
      <c r="G6" s="2">
        <v>0.40400000000000003</v>
      </c>
      <c r="H6" s="2">
        <v>0.34599999999999997</v>
      </c>
      <c r="I6" s="2">
        <v>5</v>
      </c>
      <c r="J6" s="2">
        <v>193.4</v>
      </c>
      <c r="K6" s="2">
        <v>165.7</v>
      </c>
      <c r="L6" s="2">
        <v>0.75</v>
      </c>
      <c r="M6" s="2">
        <v>0.85299999999999998</v>
      </c>
      <c r="N6" s="2">
        <v>94.7</v>
      </c>
      <c r="O6" s="2">
        <v>250.6</v>
      </c>
      <c r="P6" s="2">
        <v>11.9</v>
      </c>
      <c r="Q6" s="2">
        <v>37.1</v>
      </c>
      <c r="R6" s="2">
        <v>25.2</v>
      </c>
      <c r="S6" s="2">
        <v>155.99</v>
      </c>
      <c r="T6" s="2">
        <v>260.39999999999998</v>
      </c>
      <c r="U6" s="2">
        <v>444.1</v>
      </c>
      <c r="V6" s="2">
        <v>1</v>
      </c>
      <c r="W6" s="2">
        <v>1</v>
      </c>
    </row>
    <row r="7" spans="1:23" x14ac:dyDescent="0.3">
      <c r="B7" t="s">
        <v>175</v>
      </c>
      <c r="C7" s="2">
        <v>32.700000000000003</v>
      </c>
      <c r="D7" s="2">
        <v>22</v>
      </c>
      <c r="E7" s="2">
        <v>81.599999999999994</v>
      </c>
      <c r="F7" s="2">
        <v>92.3</v>
      </c>
      <c r="G7" s="2">
        <v>0.46</v>
      </c>
      <c r="H7" s="2">
        <v>0.28499999999999998</v>
      </c>
      <c r="I7" s="2">
        <v>4.87</v>
      </c>
      <c r="J7" s="2">
        <v>279</v>
      </c>
      <c r="K7" s="2">
        <v>189.6</v>
      </c>
      <c r="L7" s="2">
        <v>0.72199999999999998</v>
      </c>
      <c r="M7" s="2">
        <v>0.88</v>
      </c>
      <c r="N7" s="2">
        <v>96.3</v>
      </c>
      <c r="O7" s="2">
        <v>248.2</v>
      </c>
      <c r="P7" s="2">
        <v>13.1</v>
      </c>
      <c r="Q7" s="2">
        <v>44.3</v>
      </c>
      <c r="R7" s="2">
        <v>31.2</v>
      </c>
      <c r="S7" s="2">
        <v>154.65</v>
      </c>
      <c r="T7" s="2">
        <v>285.89999999999998</v>
      </c>
      <c r="U7" s="2">
        <v>527.20000000000005</v>
      </c>
      <c r="V7" s="2">
        <v>0.47</v>
      </c>
      <c r="W7" s="2">
        <v>2</v>
      </c>
    </row>
    <row r="8" spans="1:23" x14ac:dyDescent="0.3">
      <c r="B8" t="s">
        <v>176</v>
      </c>
      <c r="C8" s="2">
        <v>30.3</v>
      </c>
      <c r="D8" s="2">
        <v>3</v>
      </c>
      <c r="E8" s="2">
        <v>97.2</v>
      </c>
      <c r="F8" s="2">
        <v>79.599999999999994</v>
      </c>
      <c r="G8" s="2">
        <v>0.497</v>
      </c>
      <c r="H8" s="2">
        <v>0.29599999999999999</v>
      </c>
      <c r="I8" s="2">
        <v>6.2</v>
      </c>
      <c r="J8" s="2">
        <v>401.6</v>
      </c>
      <c r="K8" s="2">
        <v>222.7</v>
      </c>
      <c r="L8" s="2">
        <v>0.77500000000000002</v>
      </c>
      <c r="M8" s="2">
        <v>0.96</v>
      </c>
      <c r="N8" s="2">
        <v>120.8</v>
      </c>
      <c r="O8" s="2">
        <v>166.8</v>
      </c>
      <c r="P8" s="2">
        <v>21.9</v>
      </c>
      <c r="Q8" s="2">
        <v>48.4</v>
      </c>
      <c r="R8" s="2">
        <v>26.5</v>
      </c>
      <c r="S8" s="2">
        <v>197.41</v>
      </c>
      <c r="T8" s="2">
        <v>343.5</v>
      </c>
      <c r="U8" s="2">
        <v>568.4</v>
      </c>
      <c r="V8" s="2">
        <v>0.67</v>
      </c>
      <c r="W8" s="2">
        <v>6</v>
      </c>
    </row>
    <row r="9" spans="1:23" x14ac:dyDescent="0.3">
      <c r="B9" t="s">
        <v>177</v>
      </c>
      <c r="C9" s="2">
        <v>35.9</v>
      </c>
      <c r="D9" s="2">
        <v>6</v>
      </c>
      <c r="E9" s="2">
        <v>98.1</v>
      </c>
      <c r="F9" s="2">
        <v>77.599999999999994</v>
      </c>
      <c r="G9" s="2">
        <v>0.58899999999999997</v>
      </c>
      <c r="H9" s="2">
        <v>0.371</v>
      </c>
      <c r="I9" s="2">
        <v>6</v>
      </c>
      <c r="J9" s="2">
        <v>358.2</v>
      </c>
      <c r="K9" s="2">
        <v>239.2</v>
      </c>
      <c r="L9" s="2">
        <v>0.74399999999999999</v>
      </c>
      <c r="M9" s="2">
        <v>0.92600000000000005</v>
      </c>
      <c r="N9" s="2">
        <v>113.1</v>
      </c>
      <c r="O9" s="2">
        <v>183.5</v>
      </c>
      <c r="P9" s="2">
        <v>19.399999999999999</v>
      </c>
      <c r="Q9" s="2">
        <v>48.5</v>
      </c>
      <c r="R9" s="2">
        <v>29.1</v>
      </c>
      <c r="S9" s="2">
        <v>198.99</v>
      </c>
      <c r="T9" s="2">
        <v>352.2</v>
      </c>
      <c r="U9" s="2">
        <v>541.6</v>
      </c>
      <c r="V9" s="2">
        <v>0.77</v>
      </c>
      <c r="W9" s="2">
        <v>3</v>
      </c>
    </row>
    <row r="10" spans="1:23" x14ac:dyDescent="0.3">
      <c r="B10" t="s">
        <v>178</v>
      </c>
      <c r="C10" s="2">
        <v>30</v>
      </c>
      <c r="D10" s="2">
        <v>3</v>
      </c>
      <c r="E10" s="2">
        <v>88.4</v>
      </c>
      <c r="F10" s="2">
        <v>93.7</v>
      </c>
      <c r="G10" s="2">
        <v>0.44800000000000001</v>
      </c>
      <c r="H10" s="2">
        <v>0.35599999999999998</v>
      </c>
      <c r="I10" s="2">
        <v>5.13</v>
      </c>
      <c r="J10" s="2">
        <v>251.9</v>
      </c>
      <c r="K10" s="2">
        <v>190.1</v>
      </c>
      <c r="L10" s="2">
        <v>0.625</v>
      </c>
      <c r="M10" s="2">
        <v>0.84299999999999997</v>
      </c>
      <c r="N10" s="2">
        <v>78.900000000000006</v>
      </c>
      <c r="O10" s="2">
        <v>190.9</v>
      </c>
      <c r="P10" s="2">
        <v>10.199999999999999</v>
      </c>
      <c r="Q10" s="2">
        <v>38.4</v>
      </c>
      <c r="R10" s="2">
        <v>28.2</v>
      </c>
      <c r="S10" s="2">
        <v>168.56</v>
      </c>
      <c r="T10" s="2">
        <v>268.89999999999998</v>
      </c>
      <c r="U10" s="2">
        <v>442.8</v>
      </c>
      <c r="V10" s="2">
        <v>0.2</v>
      </c>
      <c r="W10" s="2">
        <v>5</v>
      </c>
    </row>
    <row r="11" spans="1:23" x14ac:dyDescent="0.3">
      <c r="B11" t="s">
        <v>179</v>
      </c>
      <c r="C11" s="2">
        <v>29.9</v>
      </c>
      <c r="D11" s="2">
        <v>8</v>
      </c>
      <c r="E11" s="2">
        <v>90.8</v>
      </c>
      <c r="F11" s="2">
        <v>87.6</v>
      </c>
      <c r="G11" s="2">
        <v>0.51100000000000001</v>
      </c>
      <c r="H11" s="2">
        <v>0.26600000000000001</v>
      </c>
      <c r="I11" s="2">
        <v>4.4000000000000004</v>
      </c>
      <c r="J11" s="2">
        <v>295.89999999999998</v>
      </c>
      <c r="K11" s="2">
        <v>219.7</v>
      </c>
      <c r="L11" s="2">
        <v>0.67600000000000005</v>
      </c>
      <c r="M11" s="2">
        <v>0.97599999999999998</v>
      </c>
      <c r="N11" s="2">
        <v>77.099999999999994</v>
      </c>
      <c r="O11" s="2">
        <v>205.3</v>
      </c>
      <c r="P11" s="2">
        <v>14.3</v>
      </c>
      <c r="Q11" s="2">
        <v>41.1</v>
      </c>
      <c r="R11" s="2">
        <v>26.8</v>
      </c>
      <c r="S11" s="2">
        <v>162.01</v>
      </c>
      <c r="T11" s="2">
        <v>296.8</v>
      </c>
      <c r="U11" s="2">
        <v>501.2</v>
      </c>
      <c r="V11" s="2">
        <v>7.0000000000000007E-2</v>
      </c>
      <c r="W11" s="2">
        <v>3</v>
      </c>
    </row>
    <row r="12" spans="1:23" s="1" customFormat="1" x14ac:dyDescent="0.3">
      <c r="A12" s="3" t="s">
        <v>32</v>
      </c>
      <c r="B12" s="1" t="s">
        <v>0</v>
      </c>
      <c r="C12" s="3">
        <f>MIN(C2:C11)</f>
        <v>25.7</v>
      </c>
      <c r="D12" s="3">
        <f>MAX(D2:D11)</f>
        <v>63</v>
      </c>
      <c r="E12" s="3">
        <f>MIN(E2:E11)</f>
        <v>74.7</v>
      </c>
      <c r="F12" s="3">
        <f>MIN(F2:F11)</f>
        <v>74.900000000000006</v>
      </c>
      <c r="G12" s="3">
        <f>MIN(G2:G11)</f>
        <v>0.374</v>
      </c>
      <c r="H12" s="3">
        <f>MAX(H2:H11)</f>
        <v>0.371</v>
      </c>
      <c r="I12" s="3">
        <f>MAX(I2:I11)</f>
        <v>6.33</v>
      </c>
      <c r="J12" s="3">
        <f>MIN(J2:J11)</f>
        <v>193.4</v>
      </c>
      <c r="K12" s="3">
        <f>MAX(K2:K11)</f>
        <v>239.2</v>
      </c>
      <c r="L12" s="3">
        <f>MAX(L2:L11)</f>
        <v>0.84399999999999997</v>
      </c>
      <c r="M12" s="3">
        <f>MIN(M2:M11)</f>
        <v>0.82299999999999995</v>
      </c>
      <c r="N12" s="3">
        <f>MAX(N2:N11)</f>
        <v>141.30000000000001</v>
      </c>
      <c r="O12" s="3">
        <f>MIN(O2:O11)</f>
        <v>166.8</v>
      </c>
      <c r="P12" s="3">
        <f>MAX(P2:P11)</f>
        <v>22</v>
      </c>
      <c r="Q12" s="3">
        <f>MIN(Q2:Q11)</f>
        <v>35.1</v>
      </c>
      <c r="R12" s="3">
        <f>MIN(R2:R11)</f>
        <v>20</v>
      </c>
      <c r="S12" s="3">
        <f>MIN(S2:S11)</f>
        <v>143.44999999999999</v>
      </c>
      <c r="T12" s="3">
        <f>MAX(T2:T11)</f>
        <v>352.2</v>
      </c>
      <c r="U12" s="3">
        <f>MIN(U2:U11)</f>
        <v>427.1</v>
      </c>
      <c r="V12" s="3">
        <f>MIN(V2:V11)</f>
        <v>-7.0000000000000007E-2</v>
      </c>
      <c r="W12" s="3">
        <f>MAX(W2:W11)</f>
        <v>11</v>
      </c>
    </row>
    <row r="13" spans="1:23" x14ac:dyDescent="0.3">
      <c r="A13" s="2" cm="1">
        <f t="array" ref="A13">CountByColumnLogic(C13:W13)</f>
        <v>12</v>
      </c>
      <c r="B13" t="s">
        <v>180</v>
      </c>
      <c r="C13" s="2">
        <v>-0.4</v>
      </c>
      <c r="D13" s="2">
        <v>126</v>
      </c>
      <c r="E13" s="2">
        <v>53.5</v>
      </c>
      <c r="F13" s="2">
        <v>54.7</v>
      </c>
      <c r="G13" s="2">
        <v>0.45500000000000002</v>
      </c>
      <c r="H13" s="2">
        <v>0.35299999999999998</v>
      </c>
      <c r="I13" s="2">
        <v>3.25</v>
      </c>
      <c r="J13" s="2">
        <v>88.3</v>
      </c>
      <c r="K13" s="2">
        <v>181</v>
      </c>
      <c r="L13" s="2">
        <v>0.84599999999999997</v>
      </c>
      <c r="M13" s="2">
        <v>0.81399999999999995</v>
      </c>
      <c r="N13" s="2">
        <v>96.2</v>
      </c>
      <c r="O13" s="2">
        <v>275.8</v>
      </c>
      <c r="P13" s="2">
        <v>17.899999999999999</v>
      </c>
      <c r="Q13" s="2">
        <v>27.6</v>
      </c>
      <c r="R13" s="2">
        <v>9.6999999999999993</v>
      </c>
      <c r="S13" s="2">
        <v>148.84</v>
      </c>
      <c r="T13" s="2">
        <v>277.2</v>
      </c>
      <c r="U13" s="2">
        <v>364.1</v>
      </c>
      <c r="V13" s="2">
        <v>-0.33</v>
      </c>
      <c r="W13" s="2" t="s">
        <v>168</v>
      </c>
    </row>
    <row r="14" spans="1:23" x14ac:dyDescent="0.3">
      <c r="A14" s="2" cm="1">
        <f t="array" ref="A14">CountByColumnLogic(C14:W14)</f>
        <v>3</v>
      </c>
      <c r="B14" t="s">
        <v>181</v>
      </c>
      <c r="C14" s="2">
        <v>24.9</v>
      </c>
      <c r="D14" s="2">
        <v>5</v>
      </c>
      <c r="E14" s="2">
        <v>76.3</v>
      </c>
      <c r="F14" s="2">
        <v>80.8</v>
      </c>
      <c r="G14" s="2">
        <v>0.46700000000000003</v>
      </c>
      <c r="H14" s="2">
        <v>0.33900000000000002</v>
      </c>
      <c r="I14" s="2">
        <v>5.77</v>
      </c>
      <c r="J14" s="2">
        <v>228.5</v>
      </c>
      <c r="K14" s="2">
        <v>188.8</v>
      </c>
      <c r="L14" s="2">
        <v>0.81599999999999995</v>
      </c>
      <c r="M14" s="2">
        <v>0.94</v>
      </c>
      <c r="N14" s="2">
        <v>124.5</v>
      </c>
      <c r="O14" s="2">
        <v>172.7</v>
      </c>
      <c r="P14" s="2">
        <v>18.399999999999999</v>
      </c>
      <c r="Q14" s="2">
        <v>35.1</v>
      </c>
      <c r="R14" s="2">
        <v>16.7</v>
      </c>
      <c r="S14" s="2">
        <v>167.34</v>
      </c>
      <c r="T14" s="2">
        <v>313.3</v>
      </c>
      <c r="U14" s="2">
        <v>401.2</v>
      </c>
      <c r="V14" s="2">
        <v>0.62</v>
      </c>
      <c r="W14" s="2">
        <v>4</v>
      </c>
    </row>
    <row r="15" spans="1:23" x14ac:dyDescent="0.3">
      <c r="A15" s="2" cm="1">
        <f t="array" ref="A15">CountByColumnLogic(C15:W15)</f>
        <v>11</v>
      </c>
      <c r="B15" t="s">
        <v>182</v>
      </c>
      <c r="C15" s="2">
        <v>-0.6</v>
      </c>
      <c r="D15" s="2">
        <v>99</v>
      </c>
      <c r="E15" s="2">
        <v>62.5</v>
      </c>
      <c r="F15" s="2">
        <v>41</v>
      </c>
      <c r="G15" s="2">
        <v>0.42899999999999999</v>
      </c>
      <c r="H15" s="2">
        <v>0.41099999999999998</v>
      </c>
      <c r="I15" s="2">
        <v>4.62</v>
      </c>
      <c r="J15" s="2">
        <v>278.39999999999998</v>
      </c>
      <c r="K15" s="2">
        <v>212.3</v>
      </c>
      <c r="L15" s="2">
        <v>0.82</v>
      </c>
      <c r="M15" s="2">
        <v>0.90600000000000003</v>
      </c>
      <c r="N15" s="2">
        <v>178.1</v>
      </c>
      <c r="O15" s="2">
        <v>171.6</v>
      </c>
      <c r="P15" s="2">
        <v>27.9</v>
      </c>
      <c r="Q15" s="2">
        <v>34.799999999999997</v>
      </c>
      <c r="R15" s="2">
        <v>6.9</v>
      </c>
      <c r="S15" s="2">
        <v>154.49</v>
      </c>
      <c r="T15" s="2">
        <v>390.4</v>
      </c>
      <c r="U15" s="2">
        <v>450</v>
      </c>
      <c r="V15" s="2">
        <v>0.23</v>
      </c>
      <c r="W15" s="2" t="s">
        <v>168</v>
      </c>
    </row>
    <row r="16" spans="1:23" x14ac:dyDescent="0.3">
      <c r="A16" s="2" cm="1">
        <f t="array" ref="A16">CountByColumnLogic(C16:W16)</f>
        <v>9</v>
      </c>
      <c r="B16" t="s">
        <v>183</v>
      </c>
      <c r="C16" s="2">
        <v>11.4</v>
      </c>
      <c r="D16" s="2">
        <v>72</v>
      </c>
      <c r="E16" s="2">
        <v>77.7</v>
      </c>
      <c r="F16" s="2">
        <v>56.6</v>
      </c>
      <c r="G16" s="2">
        <v>0.497</v>
      </c>
      <c r="H16" s="2">
        <v>0.41</v>
      </c>
      <c r="I16" s="2">
        <v>6.5</v>
      </c>
      <c r="J16" s="2">
        <v>304.5</v>
      </c>
      <c r="K16" s="2">
        <v>229.6</v>
      </c>
      <c r="L16" s="2">
        <v>0.745</v>
      </c>
      <c r="M16" s="2">
        <v>0.92600000000000005</v>
      </c>
      <c r="N16" s="2">
        <v>111.3</v>
      </c>
      <c r="O16" s="2">
        <v>148.9</v>
      </c>
      <c r="P16" s="2">
        <v>20.8</v>
      </c>
      <c r="Q16" s="2">
        <v>34.299999999999997</v>
      </c>
      <c r="R16" s="2">
        <v>13.5</v>
      </c>
      <c r="S16" s="2">
        <v>165.99</v>
      </c>
      <c r="T16" s="2">
        <v>340.9</v>
      </c>
      <c r="U16" s="2">
        <v>453.4</v>
      </c>
      <c r="V16" s="2">
        <v>0</v>
      </c>
      <c r="W16" s="2" t="s">
        <v>168</v>
      </c>
    </row>
    <row r="17" spans="1:23" x14ac:dyDescent="0.3">
      <c r="A17" s="2" cm="1">
        <f t="array" ref="A17">CountByColumnLogic(C17:W17)</f>
        <v>18</v>
      </c>
      <c r="B17" t="s">
        <v>184</v>
      </c>
      <c r="C17" s="2">
        <v>-8.9</v>
      </c>
      <c r="D17" s="2">
        <v>83</v>
      </c>
      <c r="E17" s="2">
        <v>40.200000000000003</v>
      </c>
      <c r="F17" s="2">
        <v>34</v>
      </c>
      <c r="G17" s="2">
        <v>0.34200000000000003</v>
      </c>
      <c r="H17" s="2">
        <v>0.40699999999999997</v>
      </c>
      <c r="I17" s="2">
        <v>6.17</v>
      </c>
      <c r="J17" s="2">
        <v>224</v>
      </c>
      <c r="K17" s="2">
        <v>261.7</v>
      </c>
      <c r="L17" s="2">
        <v>0.84599999999999997</v>
      </c>
      <c r="M17" s="2">
        <v>0.78</v>
      </c>
      <c r="N17" s="2">
        <v>183.8</v>
      </c>
      <c r="O17" s="2">
        <v>151.5</v>
      </c>
      <c r="P17" s="2">
        <v>31.2</v>
      </c>
      <c r="Q17" s="2">
        <v>27.8</v>
      </c>
      <c r="R17" s="2">
        <v>-3.4</v>
      </c>
      <c r="S17" s="2">
        <v>132.72999999999999</v>
      </c>
      <c r="T17" s="2">
        <v>445.5</v>
      </c>
      <c r="U17" s="2">
        <v>375.5</v>
      </c>
      <c r="V17" s="2">
        <v>0.17</v>
      </c>
      <c r="W17" s="2" t="s">
        <v>168</v>
      </c>
    </row>
    <row r="18" spans="1:23" x14ac:dyDescent="0.3">
      <c r="A18" s="2" cm="1">
        <f t="array" ref="A18">CountByColumnLogic(C18:W18)</f>
        <v>12</v>
      </c>
      <c r="B18" t="s">
        <v>185</v>
      </c>
      <c r="C18" s="2">
        <v>8.9</v>
      </c>
      <c r="D18" s="2">
        <v>12</v>
      </c>
      <c r="E18" s="2">
        <v>49.1</v>
      </c>
      <c r="F18" s="2">
        <v>73</v>
      </c>
      <c r="G18" s="2">
        <v>0.33800000000000002</v>
      </c>
      <c r="H18" s="2">
        <v>0.316</v>
      </c>
      <c r="I18" s="2">
        <v>5.58</v>
      </c>
      <c r="J18" s="2">
        <v>157.1</v>
      </c>
      <c r="K18" s="2">
        <v>201.7</v>
      </c>
      <c r="L18" s="2">
        <v>0.78</v>
      </c>
      <c r="M18" s="2">
        <v>0.86799999999999999</v>
      </c>
      <c r="N18" s="2">
        <v>159.4</v>
      </c>
      <c r="O18" s="2">
        <v>198.4</v>
      </c>
      <c r="P18" s="2">
        <v>21.9</v>
      </c>
      <c r="Q18" s="2">
        <v>27.2</v>
      </c>
      <c r="R18" s="2">
        <v>5.3</v>
      </c>
      <c r="S18" s="2">
        <v>131.07</v>
      </c>
      <c r="T18" s="2">
        <v>361.1</v>
      </c>
      <c r="U18" s="2">
        <v>355.5</v>
      </c>
      <c r="V18" s="2">
        <v>0.08</v>
      </c>
      <c r="W18" s="2" t="s">
        <v>168</v>
      </c>
    </row>
    <row r="19" spans="1:23" x14ac:dyDescent="0.3">
      <c r="A19" s="2" cm="1">
        <f t="array" ref="A19">CountByColumnLogic(C19:W19)</f>
        <v>13</v>
      </c>
      <c r="B19" t="s">
        <v>186</v>
      </c>
      <c r="C19" s="2">
        <v>5.2</v>
      </c>
      <c r="D19" s="2">
        <v>88</v>
      </c>
      <c r="E19" s="2">
        <v>69.3</v>
      </c>
      <c r="F19" s="2">
        <v>55</v>
      </c>
      <c r="G19" s="2">
        <v>0.46500000000000002</v>
      </c>
      <c r="H19" s="2">
        <v>0.38100000000000001</v>
      </c>
      <c r="I19" s="2">
        <v>3.69</v>
      </c>
      <c r="J19" s="2">
        <v>229.3</v>
      </c>
      <c r="K19" s="2">
        <v>251.9</v>
      </c>
      <c r="L19" s="2">
        <v>0.81399999999999995</v>
      </c>
      <c r="M19" s="2">
        <v>0.878</v>
      </c>
      <c r="N19" s="2">
        <v>123.6</v>
      </c>
      <c r="O19" s="2">
        <v>214.8</v>
      </c>
      <c r="P19" s="2">
        <v>24.4</v>
      </c>
      <c r="Q19" s="2">
        <v>32.9</v>
      </c>
      <c r="R19" s="2">
        <v>8.5</v>
      </c>
      <c r="S19" s="2">
        <v>141.43</v>
      </c>
      <c r="T19" s="2">
        <v>375.5</v>
      </c>
      <c r="U19" s="2">
        <v>444.2</v>
      </c>
      <c r="V19" s="2">
        <v>-0.15</v>
      </c>
      <c r="W19" s="2" t="s">
        <v>168</v>
      </c>
    </row>
    <row r="20" spans="1:23" x14ac:dyDescent="0.3">
      <c r="A20" s="2" cm="1">
        <f t="array" ref="A20">CountByColumnLogic(C20:W20)</f>
        <v>17</v>
      </c>
      <c r="B20" t="s">
        <v>187</v>
      </c>
      <c r="C20" s="2">
        <v>-5.0999999999999996</v>
      </c>
      <c r="D20" s="2">
        <v>79</v>
      </c>
      <c r="E20" s="2">
        <v>51.5</v>
      </c>
      <c r="F20" s="2">
        <v>29.6</v>
      </c>
      <c r="G20" s="2">
        <v>0.41099999999999998</v>
      </c>
      <c r="H20" s="2">
        <v>0.40400000000000003</v>
      </c>
      <c r="I20" s="2">
        <v>6.58</v>
      </c>
      <c r="J20" s="2">
        <v>189.2</v>
      </c>
      <c r="K20" s="2">
        <v>197.7</v>
      </c>
      <c r="L20" s="2">
        <v>0.92700000000000005</v>
      </c>
      <c r="M20" s="2">
        <v>0.86799999999999999</v>
      </c>
      <c r="N20" s="2">
        <v>193.8</v>
      </c>
      <c r="O20" s="2">
        <v>193.5</v>
      </c>
      <c r="P20" s="2">
        <v>29.5</v>
      </c>
      <c r="Q20" s="2">
        <v>25</v>
      </c>
      <c r="R20" s="2">
        <v>-4.5</v>
      </c>
      <c r="S20" s="2">
        <v>118.71</v>
      </c>
      <c r="T20" s="2">
        <v>391.4</v>
      </c>
      <c r="U20" s="2">
        <v>382.7</v>
      </c>
      <c r="V20" s="2">
        <v>-0.17</v>
      </c>
      <c r="W20" s="2" t="s">
        <v>168</v>
      </c>
    </row>
    <row r="21" spans="1:23" x14ac:dyDescent="0.3">
      <c r="A21" s="2" cm="1">
        <f t="array" ref="A21">CountByColumnLogic(C21:W21)</f>
        <v>15</v>
      </c>
      <c r="B21" t="s">
        <v>188</v>
      </c>
      <c r="C21" s="2">
        <v>-5.5</v>
      </c>
      <c r="D21" s="2">
        <v>71</v>
      </c>
      <c r="E21" s="2">
        <v>35</v>
      </c>
      <c r="F21" s="2">
        <v>57.1</v>
      </c>
      <c r="G21" s="2">
        <v>0.33600000000000002</v>
      </c>
      <c r="H21" s="2">
        <v>0.38</v>
      </c>
      <c r="I21" s="2">
        <v>7.08</v>
      </c>
      <c r="J21" s="2">
        <v>185.7</v>
      </c>
      <c r="K21" s="2">
        <v>192.7</v>
      </c>
      <c r="L21" s="2">
        <v>0.81799999999999995</v>
      </c>
      <c r="M21" s="2">
        <v>0.86399999999999999</v>
      </c>
      <c r="N21" s="2">
        <v>137.19999999999999</v>
      </c>
      <c r="O21" s="2">
        <v>142.19999999999999</v>
      </c>
      <c r="P21" s="2">
        <v>23.5</v>
      </c>
      <c r="Q21" s="2">
        <v>26.3</v>
      </c>
      <c r="R21" s="2">
        <v>2.8</v>
      </c>
      <c r="S21" s="2">
        <v>126.55</v>
      </c>
      <c r="T21" s="2">
        <v>329.8</v>
      </c>
      <c r="U21" s="2">
        <v>327.8</v>
      </c>
      <c r="V21" s="2">
        <v>0.67</v>
      </c>
      <c r="W21" s="2" t="s">
        <v>168</v>
      </c>
    </row>
    <row r="22" spans="1:23" x14ac:dyDescent="0.3">
      <c r="A22" s="2" cm="1">
        <f t="array" ref="A22">CountByColumnLogic(C22:W22)</f>
        <v>14</v>
      </c>
      <c r="B22" t="s">
        <v>189</v>
      </c>
      <c r="C22" s="2">
        <v>4</v>
      </c>
      <c r="D22" s="2">
        <v>25</v>
      </c>
      <c r="E22" s="2">
        <v>48</v>
      </c>
      <c r="F22" s="2">
        <v>62.9</v>
      </c>
      <c r="G22" s="2">
        <v>0.39500000000000002</v>
      </c>
      <c r="H22" s="2">
        <v>0.40899999999999997</v>
      </c>
      <c r="I22" s="2">
        <v>5.42</v>
      </c>
      <c r="J22" s="2">
        <v>214.6</v>
      </c>
      <c r="K22" s="2">
        <v>282.5</v>
      </c>
      <c r="L22" s="2">
        <v>0.875</v>
      </c>
      <c r="M22" s="2">
        <v>0.80400000000000005</v>
      </c>
      <c r="N22" s="2">
        <v>133.9</v>
      </c>
      <c r="O22" s="2">
        <v>181.1</v>
      </c>
      <c r="P22" s="2">
        <v>32.700000000000003</v>
      </c>
      <c r="Q22" s="2">
        <v>31.6</v>
      </c>
      <c r="R22" s="2">
        <v>-1.1000000000000001</v>
      </c>
      <c r="S22" s="2">
        <v>123.59</v>
      </c>
      <c r="T22" s="2">
        <v>416.4</v>
      </c>
      <c r="U22" s="2">
        <v>395.7</v>
      </c>
      <c r="V22" s="2">
        <v>0.08</v>
      </c>
      <c r="W22" s="2" t="s">
        <v>168</v>
      </c>
    </row>
    <row r="23" spans="1:23" x14ac:dyDescent="0.3">
      <c r="A23" s="2" cm="1">
        <f t="array" ref="A23">CountByColumnLogic(C23:W23)</f>
        <v>7</v>
      </c>
      <c r="B23" t="s">
        <v>190</v>
      </c>
      <c r="C23" s="2">
        <v>13.9</v>
      </c>
      <c r="D23" s="2">
        <v>51</v>
      </c>
      <c r="E23" s="2">
        <v>48.2</v>
      </c>
      <c r="F23" s="2">
        <v>90</v>
      </c>
      <c r="G23" s="2">
        <v>0.41199999999999998</v>
      </c>
      <c r="H23" s="2">
        <v>0.318</v>
      </c>
      <c r="I23" s="2">
        <v>4.83</v>
      </c>
      <c r="J23" s="2">
        <v>225.4</v>
      </c>
      <c r="K23" s="2">
        <v>162.19999999999999</v>
      </c>
      <c r="L23" s="2">
        <v>0.81499999999999995</v>
      </c>
      <c r="M23" s="2">
        <v>0.71399999999999997</v>
      </c>
      <c r="N23" s="2">
        <v>116.5</v>
      </c>
      <c r="O23" s="2">
        <v>180.2</v>
      </c>
      <c r="P23" s="2">
        <v>19.899999999999999</v>
      </c>
      <c r="Q23" s="2">
        <v>29.2</v>
      </c>
      <c r="R23" s="2">
        <v>9.3000000000000007</v>
      </c>
      <c r="S23" s="2">
        <v>126.84</v>
      </c>
      <c r="T23" s="2">
        <v>278.7</v>
      </c>
      <c r="U23" s="2">
        <v>405.7</v>
      </c>
      <c r="V23" s="2">
        <v>0.25</v>
      </c>
      <c r="W23" s="2">
        <v>9</v>
      </c>
    </row>
    <row r="24" spans="1:23" x14ac:dyDescent="0.3">
      <c r="A24" s="2" cm="1">
        <f t="array" ref="A24">CountByColumnLogic(C24:W24)</f>
        <v>13</v>
      </c>
      <c r="B24" t="s">
        <v>191</v>
      </c>
      <c r="C24" s="2">
        <v>-2.8</v>
      </c>
      <c r="D24" s="2">
        <v>117</v>
      </c>
      <c r="E24" s="2">
        <v>57.9</v>
      </c>
      <c r="F24" s="2">
        <v>44</v>
      </c>
      <c r="G24" s="2">
        <v>0.433</v>
      </c>
      <c r="H24" s="2">
        <v>0.41799999999999998</v>
      </c>
      <c r="I24" s="2">
        <v>5.25</v>
      </c>
      <c r="J24" s="2">
        <v>266.8</v>
      </c>
      <c r="K24" s="2">
        <v>211.5</v>
      </c>
      <c r="L24" s="2">
        <v>0.80400000000000005</v>
      </c>
      <c r="M24" s="2">
        <v>0.745</v>
      </c>
      <c r="N24" s="2">
        <v>168.5</v>
      </c>
      <c r="O24" s="2">
        <v>156.1</v>
      </c>
      <c r="P24" s="2">
        <v>24.7</v>
      </c>
      <c r="Q24" s="2">
        <v>28</v>
      </c>
      <c r="R24" s="2">
        <v>3.3</v>
      </c>
      <c r="S24" s="2">
        <v>152.06</v>
      </c>
      <c r="T24" s="2">
        <v>280</v>
      </c>
      <c r="U24" s="2">
        <v>422.9</v>
      </c>
      <c r="V24" s="2">
        <v>0.33</v>
      </c>
      <c r="W24" s="2" t="s">
        <v>168</v>
      </c>
    </row>
    <row r="25" spans="1:23" x14ac:dyDescent="0.3">
      <c r="A25" s="2" cm="1">
        <f t="array" ref="A25">CountByColumnLogic(C25:W25)</f>
        <v>13</v>
      </c>
      <c r="B25" t="s">
        <v>192</v>
      </c>
      <c r="C25" s="2">
        <v>8.8000000000000007</v>
      </c>
      <c r="D25" s="2">
        <v>49</v>
      </c>
      <c r="E25" s="2">
        <v>63.8</v>
      </c>
      <c r="F25" s="2">
        <v>63.6</v>
      </c>
      <c r="G25" s="2">
        <v>0.36399999999999999</v>
      </c>
      <c r="H25" s="2">
        <v>0.39500000000000002</v>
      </c>
      <c r="I25" s="2">
        <v>5.58</v>
      </c>
      <c r="J25" s="2">
        <v>180.7</v>
      </c>
      <c r="K25" s="2">
        <v>208.2</v>
      </c>
      <c r="L25" s="2">
        <v>0.75600000000000001</v>
      </c>
      <c r="M25" s="2">
        <v>0.85</v>
      </c>
      <c r="N25" s="2">
        <v>146.30000000000001</v>
      </c>
      <c r="O25" s="2">
        <v>168.9</v>
      </c>
      <c r="P25" s="2">
        <v>19.8</v>
      </c>
      <c r="Q25" s="2">
        <v>27.8</v>
      </c>
      <c r="R25" s="2">
        <v>8</v>
      </c>
      <c r="S25" s="2">
        <v>120.52</v>
      </c>
      <c r="T25" s="2">
        <v>354.6</v>
      </c>
      <c r="U25" s="2">
        <v>349.6</v>
      </c>
      <c r="V25" s="2">
        <v>0.08</v>
      </c>
      <c r="W25" s="2" t="s">
        <v>168</v>
      </c>
    </row>
    <row r="26" spans="1:23" x14ac:dyDescent="0.3">
      <c r="A26" s="2" cm="1">
        <f t="array" ref="A26">CountByColumnLogic(C26:W26)</f>
        <v>17</v>
      </c>
      <c r="B26" t="s">
        <v>193</v>
      </c>
      <c r="C26" s="2">
        <v>-14.7</v>
      </c>
      <c r="D26" s="2">
        <v>115</v>
      </c>
      <c r="E26" s="2">
        <v>24</v>
      </c>
      <c r="F26" s="2">
        <v>32</v>
      </c>
      <c r="G26" s="2">
        <v>0.35199999999999998</v>
      </c>
      <c r="H26" s="2">
        <v>0.39500000000000002</v>
      </c>
      <c r="I26" s="2">
        <v>6.42</v>
      </c>
      <c r="J26" s="2">
        <v>158.6</v>
      </c>
      <c r="K26" s="2">
        <v>205.2</v>
      </c>
      <c r="L26" s="2">
        <v>0.76900000000000002</v>
      </c>
      <c r="M26" s="2">
        <v>0.86499999999999999</v>
      </c>
      <c r="N26" s="2">
        <v>177.7</v>
      </c>
      <c r="O26" s="2">
        <v>113.6</v>
      </c>
      <c r="P26" s="2">
        <v>24</v>
      </c>
      <c r="Q26" s="2">
        <v>20.3</v>
      </c>
      <c r="R26" s="2">
        <v>-3.7</v>
      </c>
      <c r="S26" s="2">
        <v>109.1</v>
      </c>
      <c r="T26" s="2">
        <v>382.8</v>
      </c>
      <c r="U26" s="2">
        <v>272.2</v>
      </c>
      <c r="V26" s="2">
        <v>0.25</v>
      </c>
      <c r="W26" s="2" t="s">
        <v>168</v>
      </c>
    </row>
    <row r="27" spans="1:23" x14ac:dyDescent="0.3">
      <c r="A27" s="2" cm="1">
        <f t="array" ref="A27">CountByColumnLogic(C27:W27)</f>
        <v>12</v>
      </c>
      <c r="B27" t="s">
        <v>194</v>
      </c>
      <c r="C27" s="2" t="s">
        <v>168</v>
      </c>
      <c r="D27" s="2" t="s">
        <v>168</v>
      </c>
      <c r="E27" s="2" t="s">
        <v>168</v>
      </c>
      <c r="F27" s="2" t="s">
        <v>168</v>
      </c>
      <c r="G27" s="2">
        <v>0.40300000000000002</v>
      </c>
      <c r="H27" s="2">
        <v>0.27600000000000002</v>
      </c>
      <c r="I27" s="2">
        <v>8.75</v>
      </c>
      <c r="J27" s="2">
        <v>232.2</v>
      </c>
      <c r="K27" s="2">
        <v>171.9</v>
      </c>
      <c r="L27" s="2">
        <v>0.69199999999999995</v>
      </c>
      <c r="M27" s="2">
        <v>0.79100000000000004</v>
      </c>
      <c r="N27" s="2">
        <v>95.1</v>
      </c>
      <c r="O27" s="2">
        <v>143.9</v>
      </c>
      <c r="P27" s="2">
        <v>14.2</v>
      </c>
      <c r="Q27" s="2">
        <v>30.7</v>
      </c>
      <c r="R27" s="2">
        <v>16.5</v>
      </c>
      <c r="S27" s="2">
        <v>132.88999999999999</v>
      </c>
      <c r="T27" s="2">
        <v>267</v>
      </c>
      <c r="U27" s="2">
        <v>376.1</v>
      </c>
      <c r="V27" s="2">
        <v>0.33</v>
      </c>
      <c r="W27" s="2" t="s">
        <v>168</v>
      </c>
    </row>
    <row r="28" spans="1:23" x14ac:dyDescent="0.3">
      <c r="A28" s="2" cm="1">
        <f t="array" ref="A28">CountByColumnLogic(C28:W28)</f>
        <v>4</v>
      </c>
      <c r="B28" t="s">
        <v>195</v>
      </c>
      <c r="C28" s="2">
        <v>19.899999999999999</v>
      </c>
      <c r="D28" s="2">
        <v>55</v>
      </c>
      <c r="E28" s="2">
        <v>70.099999999999994</v>
      </c>
      <c r="F28" s="2">
        <v>84.4</v>
      </c>
      <c r="G28" s="2">
        <v>0.379</v>
      </c>
      <c r="H28" s="2">
        <v>0.27400000000000002</v>
      </c>
      <c r="I28" s="2">
        <v>6.31</v>
      </c>
      <c r="J28" s="2">
        <v>259.5</v>
      </c>
      <c r="K28" s="2">
        <v>170.4</v>
      </c>
      <c r="L28" s="2">
        <v>0.76300000000000001</v>
      </c>
      <c r="M28" s="2">
        <v>0.87</v>
      </c>
      <c r="N28" s="2">
        <v>135.30000000000001</v>
      </c>
      <c r="O28" s="2">
        <v>156.80000000000001</v>
      </c>
      <c r="P28" s="2">
        <v>15.9</v>
      </c>
      <c r="Q28" s="2">
        <v>37</v>
      </c>
      <c r="R28" s="2">
        <v>21.1</v>
      </c>
      <c r="S28" s="2">
        <v>150.69999999999999</v>
      </c>
      <c r="T28" s="2">
        <v>305.7</v>
      </c>
      <c r="U28" s="2">
        <v>416.3</v>
      </c>
      <c r="V28" s="2">
        <v>0.92</v>
      </c>
      <c r="W28" s="2">
        <v>8</v>
      </c>
    </row>
    <row r="29" spans="1:23" x14ac:dyDescent="0.3">
      <c r="A29" s="2" cm="1">
        <f t="array" ref="A29">CountByColumnLogic(C29:W29)</f>
        <v>15</v>
      </c>
      <c r="B29" t="s">
        <v>196</v>
      </c>
      <c r="C29" s="2">
        <v>-3.5</v>
      </c>
      <c r="D29" s="2">
        <v>121</v>
      </c>
      <c r="E29" s="2">
        <v>49.7</v>
      </c>
      <c r="F29" s="2">
        <v>40</v>
      </c>
      <c r="G29" s="2">
        <v>0.46600000000000003</v>
      </c>
      <c r="H29" s="2">
        <v>0.39900000000000002</v>
      </c>
      <c r="I29" s="2">
        <v>4.25</v>
      </c>
      <c r="J29" s="2">
        <v>274.10000000000002</v>
      </c>
      <c r="K29" s="2">
        <v>216.9</v>
      </c>
      <c r="L29" s="2">
        <v>0.86499999999999999</v>
      </c>
      <c r="M29" s="2">
        <v>0.92700000000000005</v>
      </c>
      <c r="N29" s="2">
        <v>168.2</v>
      </c>
      <c r="O29" s="2">
        <v>104.3</v>
      </c>
      <c r="P29" s="2">
        <v>24.6</v>
      </c>
      <c r="Q29" s="2">
        <v>29.9</v>
      </c>
      <c r="R29" s="2">
        <v>5.3</v>
      </c>
      <c r="S29" s="2">
        <v>135.16</v>
      </c>
      <c r="T29" s="2">
        <v>385.1</v>
      </c>
      <c r="U29" s="2">
        <v>378.4</v>
      </c>
      <c r="V29" s="2">
        <v>0.83</v>
      </c>
      <c r="W29" s="2" t="s">
        <v>168</v>
      </c>
    </row>
    <row r="30" spans="1:23" x14ac:dyDescent="0.3">
      <c r="A30" s="2" cm="1">
        <f t="array" ref="A30">CountByColumnLogic(C30:W30)</f>
        <v>4</v>
      </c>
      <c r="B30" t="s">
        <v>197</v>
      </c>
      <c r="C30" s="2">
        <v>24.8</v>
      </c>
      <c r="D30" s="2">
        <v>37</v>
      </c>
      <c r="E30" s="2">
        <v>88.2</v>
      </c>
      <c r="F30" s="2">
        <v>74.400000000000006</v>
      </c>
      <c r="G30" s="2">
        <v>0.54800000000000004</v>
      </c>
      <c r="H30" s="2">
        <v>0.26400000000000001</v>
      </c>
      <c r="I30" s="2">
        <v>4.38</v>
      </c>
      <c r="J30" s="2">
        <v>305.60000000000002</v>
      </c>
      <c r="K30" s="2">
        <v>177.7</v>
      </c>
      <c r="L30" s="2">
        <v>0.91400000000000003</v>
      </c>
      <c r="M30" s="2">
        <v>0.90400000000000003</v>
      </c>
      <c r="N30" s="2">
        <v>117.5</v>
      </c>
      <c r="O30" s="2">
        <v>177.3</v>
      </c>
      <c r="P30" s="2">
        <v>16.600000000000001</v>
      </c>
      <c r="Q30" s="2">
        <v>38.4</v>
      </c>
      <c r="R30" s="2">
        <v>21.8</v>
      </c>
      <c r="S30" s="2">
        <v>165.94</v>
      </c>
      <c r="T30" s="2">
        <v>295.2</v>
      </c>
      <c r="U30" s="2">
        <v>482.9</v>
      </c>
      <c r="V30" s="2">
        <v>-0.08</v>
      </c>
      <c r="W30" s="2">
        <v>1</v>
      </c>
    </row>
    <row r="31" spans="1:23" x14ac:dyDescent="0.3">
      <c r="A31" s="2" cm="1">
        <f t="array" ref="A31">CountByColumnLogic(C31:W31)</f>
        <v>16</v>
      </c>
      <c r="B31" t="s">
        <v>198</v>
      </c>
      <c r="C31" s="2">
        <v>3</v>
      </c>
      <c r="D31" s="2">
        <v>116</v>
      </c>
      <c r="E31" s="2">
        <v>46</v>
      </c>
      <c r="F31" s="2">
        <v>38.299999999999997</v>
      </c>
      <c r="G31" s="2">
        <v>0.45700000000000002</v>
      </c>
      <c r="H31" s="2">
        <v>0.35799999999999998</v>
      </c>
      <c r="I31" s="2">
        <v>5.83</v>
      </c>
      <c r="J31" s="2">
        <v>298.2</v>
      </c>
      <c r="K31" s="2">
        <v>244.1</v>
      </c>
      <c r="L31" s="2">
        <v>0.86299999999999999</v>
      </c>
      <c r="M31" s="2">
        <v>0.85199999999999998</v>
      </c>
      <c r="N31" s="2">
        <v>155.5</v>
      </c>
      <c r="O31" s="2">
        <v>124.2</v>
      </c>
      <c r="P31" s="2">
        <v>29.6</v>
      </c>
      <c r="Q31" s="2">
        <v>30.9</v>
      </c>
      <c r="R31" s="2">
        <v>1.3</v>
      </c>
      <c r="S31" s="2">
        <v>128.94</v>
      </c>
      <c r="T31" s="2">
        <v>399.6</v>
      </c>
      <c r="U31" s="2">
        <v>422.5</v>
      </c>
      <c r="V31" s="2">
        <v>-0.42</v>
      </c>
      <c r="W31" s="2" t="s">
        <v>168</v>
      </c>
    </row>
    <row r="32" spans="1:23" x14ac:dyDescent="0.3">
      <c r="A32" s="2" cm="1">
        <f t="array" ref="A32">CountByColumnLogic(C32:W32)</f>
        <v>15</v>
      </c>
      <c r="B32" t="s">
        <v>199</v>
      </c>
      <c r="C32" s="2">
        <v>-8.6</v>
      </c>
      <c r="D32" s="2">
        <v>89</v>
      </c>
      <c r="E32" s="2">
        <v>48.2</v>
      </c>
      <c r="F32" s="2">
        <v>34.200000000000003</v>
      </c>
      <c r="G32" s="2">
        <v>0.44600000000000001</v>
      </c>
      <c r="H32" s="2">
        <v>0.45200000000000001</v>
      </c>
      <c r="I32" s="2">
        <v>6</v>
      </c>
      <c r="J32" s="2">
        <v>200.9</v>
      </c>
      <c r="K32" s="2">
        <v>287.10000000000002</v>
      </c>
      <c r="L32" s="2">
        <v>0.78300000000000003</v>
      </c>
      <c r="M32" s="2">
        <v>0.76200000000000001</v>
      </c>
      <c r="N32" s="2">
        <v>144.80000000000001</v>
      </c>
      <c r="O32" s="2">
        <v>171.6</v>
      </c>
      <c r="P32" s="2">
        <v>30.8</v>
      </c>
      <c r="Q32" s="2">
        <v>25.8</v>
      </c>
      <c r="R32" s="2">
        <v>-5</v>
      </c>
      <c r="S32" s="2">
        <v>137.57</v>
      </c>
      <c r="T32" s="2">
        <v>431.9</v>
      </c>
      <c r="U32" s="2">
        <v>372.5</v>
      </c>
      <c r="V32" s="2">
        <v>0.17</v>
      </c>
      <c r="W32" s="2" t="s">
        <v>168</v>
      </c>
    </row>
    <row r="33" spans="1:23" x14ac:dyDescent="0.3">
      <c r="A33" s="2" cm="1">
        <f t="array" ref="A33">CountByColumnLogic(C33:W33)</f>
        <v>12</v>
      </c>
      <c r="B33" t="s">
        <v>200</v>
      </c>
      <c r="C33" s="2">
        <v>3</v>
      </c>
      <c r="D33" s="2">
        <v>40</v>
      </c>
      <c r="E33" s="2">
        <v>64.599999999999994</v>
      </c>
      <c r="F33" s="2">
        <v>43.2</v>
      </c>
      <c r="G33" s="2">
        <v>0.435</v>
      </c>
      <c r="H33" s="2">
        <v>0.42899999999999999</v>
      </c>
      <c r="I33" s="2">
        <v>5.17</v>
      </c>
      <c r="J33" s="2">
        <v>323</v>
      </c>
      <c r="K33" s="2">
        <v>212.5</v>
      </c>
      <c r="L33" s="2">
        <v>0.9</v>
      </c>
      <c r="M33" s="2">
        <v>0.84399999999999997</v>
      </c>
      <c r="N33" s="2">
        <v>225.7</v>
      </c>
      <c r="O33" s="2">
        <v>197.1</v>
      </c>
      <c r="P33" s="2">
        <v>30.5</v>
      </c>
      <c r="Q33" s="2">
        <v>31.2</v>
      </c>
      <c r="R33" s="2">
        <v>0.7</v>
      </c>
      <c r="S33" s="2">
        <v>139.80000000000001</v>
      </c>
      <c r="T33" s="2">
        <v>438.2</v>
      </c>
      <c r="U33" s="2">
        <v>429.1</v>
      </c>
      <c r="V33" s="2">
        <v>0.25</v>
      </c>
      <c r="W33" s="2" t="s">
        <v>168</v>
      </c>
    </row>
    <row r="34" spans="1:23" x14ac:dyDescent="0.3">
      <c r="A34" s="2" cm="1">
        <f t="array" ref="A34">CountByColumnLogic(C34:W34)</f>
        <v>13</v>
      </c>
      <c r="B34" t="s">
        <v>201</v>
      </c>
      <c r="C34" s="2" t="s">
        <v>168</v>
      </c>
      <c r="D34" s="2" t="s">
        <v>168</v>
      </c>
      <c r="E34" s="2" t="s">
        <v>168</v>
      </c>
      <c r="F34" s="2" t="s">
        <v>168</v>
      </c>
      <c r="G34" s="2">
        <v>0.47</v>
      </c>
      <c r="H34" s="2">
        <v>0.38300000000000001</v>
      </c>
      <c r="I34" s="2">
        <v>5.45</v>
      </c>
      <c r="J34" s="2">
        <v>202.8</v>
      </c>
      <c r="K34" s="2">
        <v>129.5</v>
      </c>
      <c r="L34" s="2">
        <v>0.871</v>
      </c>
      <c r="M34" s="2">
        <v>0.82899999999999996</v>
      </c>
      <c r="N34" s="2">
        <v>186.6</v>
      </c>
      <c r="O34" s="2">
        <v>180.9</v>
      </c>
      <c r="P34" s="2">
        <v>23.2</v>
      </c>
      <c r="Q34" s="2">
        <v>28.7</v>
      </c>
      <c r="R34" s="2">
        <v>5.5</v>
      </c>
      <c r="S34" s="2">
        <v>133.07</v>
      </c>
      <c r="T34" s="2">
        <v>316.2</v>
      </c>
      <c r="U34" s="2">
        <v>383.7</v>
      </c>
      <c r="V34" s="2">
        <v>0.09</v>
      </c>
      <c r="W34" s="2" t="s">
        <v>168</v>
      </c>
    </row>
    <row r="35" spans="1:23" x14ac:dyDescent="0.3">
      <c r="A35" s="2" cm="1">
        <f t="array" ref="A35">CountByColumnLogic(C35:W35)</f>
        <v>11</v>
      </c>
      <c r="B35" t="s">
        <v>202</v>
      </c>
      <c r="C35" s="2">
        <v>6.1</v>
      </c>
      <c r="D35" s="2">
        <v>22</v>
      </c>
      <c r="E35" s="2">
        <v>18.3</v>
      </c>
      <c r="F35" s="2">
        <v>86.1</v>
      </c>
      <c r="G35" s="2">
        <v>0.307</v>
      </c>
      <c r="H35" s="2">
        <v>0.316</v>
      </c>
      <c r="I35" s="2">
        <v>3.54</v>
      </c>
      <c r="J35" s="2">
        <v>123.2</v>
      </c>
      <c r="K35" s="2">
        <v>172.2</v>
      </c>
      <c r="L35" s="2">
        <v>0.75</v>
      </c>
      <c r="M35" s="2">
        <v>0.82399999999999995</v>
      </c>
      <c r="N35" s="2">
        <v>102.5</v>
      </c>
      <c r="O35" s="2">
        <v>115.7</v>
      </c>
      <c r="P35" s="2">
        <v>13.2</v>
      </c>
      <c r="Q35" s="2">
        <v>16.600000000000001</v>
      </c>
      <c r="R35" s="2">
        <v>3.4</v>
      </c>
      <c r="S35" s="2">
        <v>95.1</v>
      </c>
      <c r="T35" s="2">
        <v>274.8</v>
      </c>
      <c r="U35" s="2">
        <v>238.8</v>
      </c>
      <c r="V35" s="2">
        <v>-0.31</v>
      </c>
      <c r="W35" s="2">
        <v>25</v>
      </c>
    </row>
    <row r="36" spans="1:23" x14ac:dyDescent="0.3">
      <c r="A36" s="2" cm="1">
        <f t="array" ref="A36">CountByColumnLogic(C36:W36)</f>
        <v>8</v>
      </c>
      <c r="B36" t="s">
        <v>203</v>
      </c>
      <c r="C36" s="2">
        <v>8.9</v>
      </c>
      <c r="D36" s="2">
        <v>27</v>
      </c>
      <c r="E36" s="2">
        <v>62</v>
      </c>
      <c r="F36" s="2">
        <v>67.5</v>
      </c>
      <c r="G36" s="2">
        <v>0.379</v>
      </c>
      <c r="H36" s="2">
        <v>0.35</v>
      </c>
      <c r="I36" s="2">
        <v>5</v>
      </c>
      <c r="J36" s="2">
        <v>228.2</v>
      </c>
      <c r="K36" s="2">
        <v>217.7</v>
      </c>
      <c r="L36" s="2">
        <v>0.75700000000000001</v>
      </c>
      <c r="M36" s="2">
        <v>0.93500000000000005</v>
      </c>
      <c r="N36" s="2">
        <v>131.6</v>
      </c>
      <c r="O36" s="2">
        <v>129.9</v>
      </c>
      <c r="P36" s="2">
        <v>21.7</v>
      </c>
      <c r="Q36" s="2">
        <v>26.2</v>
      </c>
      <c r="R36" s="2">
        <v>4.5</v>
      </c>
      <c r="S36" s="2">
        <v>146.36000000000001</v>
      </c>
      <c r="T36" s="2">
        <v>349.2</v>
      </c>
      <c r="U36" s="2">
        <v>358.2</v>
      </c>
      <c r="V36" s="2">
        <v>0.67</v>
      </c>
      <c r="W36" s="2" t="s">
        <v>168</v>
      </c>
    </row>
    <row r="37" spans="1:23" x14ac:dyDescent="0.3">
      <c r="A37" s="2" cm="1">
        <f t="array" ref="A37">CountByColumnLogic(C37:W37)</f>
        <v>15</v>
      </c>
      <c r="B37" t="s">
        <v>204</v>
      </c>
      <c r="C37" s="2">
        <v>-3.7</v>
      </c>
      <c r="D37" s="2">
        <v>127</v>
      </c>
      <c r="E37" s="2">
        <v>35.1</v>
      </c>
      <c r="F37" s="2">
        <v>59.3</v>
      </c>
      <c r="G37" s="2">
        <v>0.35899999999999999</v>
      </c>
      <c r="H37" s="2">
        <v>0.34100000000000003</v>
      </c>
      <c r="I37" s="2">
        <v>4.9000000000000004</v>
      </c>
      <c r="J37" s="2">
        <v>169.1</v>
      </c>
      <c r="K37" s="2">
        <v>260.2</v>
      </c>
      <c r="L37" s="2">
        <v>0.86199999999999999</v>
      </c>
      <c r="M37" s="2">
        <v>0.78600000000000003</v>
      </c>
      <c r="N37" s="2">
        <v>115.7</v>
      </c>
      <c r="O37" s="2">
        <v>231.8</v>
      </c>
      <c r="P37" s="2">
        <v>21.9</v>
      </c>
      <c r="Q37" s="2">
        <v>28.1</v>
      </c>
      <c r="R37" s="2">
        <v>6.2</v>
      </c>
      <c r="T37" s="2">
        <v>375.9</v>
      </c>
      <c r="U37" s="2">
        <v>400.9</v>
      </c>
      <c r="V37" s="2">
        <v>0.5</v>
      </c>
      <c r="W37" s="2" t="s">
        <v>168</v>
      </c>
    </row>
    <row r="38" spans="1:23" x14ac:dyDescent="0.3">
      <c r="A38" s="2" cm="1">
        <f t="array" ref="A38">CountByColumnLogic(C38:W38)</f>
        <v>11</v>
      </c>
      <c r="B38" t="s">
        <v>205</v>
      </c>
      <c r="C38" s="2">
        <v>6.5</v>
      </c>
      <c r="D38" s="2">
        <v>119</v>
      </c>
      <c r="E38" s="2">
        <v>53.5</v>
      </c>
      <c r="F38" s="2">
        <v>70.7</v>
      </c>
      <c r="G38" s="2">
        <v>0.36199999999999999</v>
      </c>
      <c r="H38" s="2">
        <v>0.36399999999999999</v>
      </c>
      <c r="I38" s="2">
        <v>5.9</v>
      </c>
      <c r="J38" s="2">
        <v>297.3</v>
      </c>
      <c r="K38" s="2">
        <v>278.10000000000002</v>
      </c>
      <c r="L38" s="2">
        <v>0.76700000000000002</v>
      </c>
      <c r="M38" s="2">
        <v>0.875</v>
      </c>
      <c r="N38" s="2">
        <v>61.5</v>
      </c>
      <c r="O38" s="2">
        <v>132.5</v>
      </c>
      <c r="P38" s="2">
        <v>19.899999999999999</v>
      </c>
      <c r="Q38" s="2">
        <v>34.9</v>
      </c>
      <c r="R38" s="2">
        <v>15</v>
      </c>
      <c r="T38" s="2">
        <v>339.5</v>
      </c>
      <c r="U38" s="2">
        <v>429.7</v>
      </c>
      <c r="V38" s="2">
        <v>0.6</v>
      </c>
      <c r="W38" s="2" t="s">
        <v>168</v>
      </c>
    </row>
    <row r="39" spans="1:23" x14ac:dyDescent="0.3">
      <c r="A39" s="2" cm="1">
        <f t="array" ref="A39">CountByColumnLogic(C39:W39)</f>
        <v>10</v>
      </c>
      <c r="B39" t="s">
        <v>206</v>
      </c>
      <c r="C39" s="2">
        <v>9.1</v>
      </c>
      <c r="D39" s="2">
        <v>36</v>
      </c>
      <c r="E39" s="2">
        <v>82.5</v>
      </c>
      <c r="F39" s="2">
        <v>54.8</v>
      </c>
      <c r="G39" s="2">
        <v>0.48099999999999998</v>
      </c>
      <c r="H39" s="2">
        <v>0.42299999999999999</v>
      </c>
      <c r="I39" s="2">
        <v>4.58</v>
      </c>
      <c r="J39" s="2">
        <v>222.7</v>
      </c>
      <c r="K39" s="2">
        <v>210.5</v>
      </c>
      <c r="L39" s="2">
        <v>0.97899999999999998</v>
      </c>
      <c r="M39" s="2">
        <v>0.87</v>
      </c>
      <c r="N39" s="2">
        <v>167.1</v>
      </c>
      <c r="O39" s="2">
        <v>211.3</v>
      </c>
      <c r="P39" s="2">
        <v>25.8</v>
      </c>
      <c r="Q39" s="2">
        <v>33.6</v>
      </c>
      <c r="R39" s="2">
        <v>7.8</v>
      </c>
      <c r="S39" s="2">
        <v>158.6</v>
      </c>
      <c r="T39" s="2">
        <v>377.6</v>
      </c>
      <c r="U39" s="2">
        <v>434</v>
      </c>
      <c r="V39" s="2">
        <v>0.17</v>
      </c>
      <c r="W39" s="2" t="s">
        <v>168</v>
      </c>
    </row>
    <row r="40" spans="1:23" x14ac:dyDescent="0.3">
      <c r="A40" s="2" cm="1">
        <f t="array" ref="A40">CountByColumnLogic(C40:W40)</f>
        <v>6</v>
      </c>
      <c r="B40" t="s">
        <v>207</v>
      </c>
      <c r="C40" s="2">
        <v>18.8</v>
      </c>
      <c r="D40" s="2">
        <v>39</v>
      </c>
      <c r="E40" s="2">
        <v>77.7</v>
      </c>
      <c r="F40" s="2">
        <v>71.599999999999994</v>
      </c>
      <c r="G40" s="2">
        <v>0.49399999999999999</v>
      </c>
      <c r="H40" s="2">
        <v>0.28699999999999998</v>
      </c>
      <c r="I40" s="2">
        <v>4.75</v>
      </c>
      <c r="J40" s="2">
        <v>246.4</v>
      </c>
      <c r="K40" s="2">
        <v>230.2</v>
      </c>
      <c r="L40" s="2">
        <v>0.80600000000000005</v>
      </c>
      <c r="M40" s="2">
        <v>0.90200000000000002</v>
      </c>
      <c r="N40" s="2">
        <v>140.19999999999999</v>
      </c>
      <c r="O40" s="2">
        <v>199.7</v>
      </c>
      <c r="P40" s="2">
        <v>21.2</v>
      </c>
      <c r="Q40" s="2">
        <v>37.799999999999997</v>
      </c>
      <c r="R40" s="2">
        <v>16.600000000000001</v>
      </c>
      <c r="S40" s="2">
        <v>142.97999999999999</v>
      </c>
      <c r="T40" s="2">
        <v>370.3</v>
      </c>
      <c r="U40" s="2">
        <v>446.1</v>
      </c>
      <c r="V40" s="2">
        <v>0.83</v>
      </c>
      <c r="W40" s="2">
        <v>16</v>
      </c>
    </row>
    <row r="41" spans="1:23" x14ac:dyDescent="0.3">
      <c r="A41" s="2" cm="1">
        <f t="array" ref="A41">CountByColumnLogic(C41:W41)</f>
        <v>14</v>
      </c>
      <c r="B41" t="s">
        <v>208</v>
      </c>
      <c r="C41" s="2">
        <v>7.3</v>
      </c>
      <c r="D41" s="2">
        <v>24</v>
      </c>
      <c r="E41" s="2">
        <v>60.5</v>
      </c>
      <c r="F41" s="2">
        <v>61.6</v>
      </c>
      <c r="G41" s="2">
        <v>0.38100000000000001</v>
      </c>
      <c r="H41" s="2">
        <v>0.44400000000000001</v>
      </c>
      <c r="I41" s="2">
        <v>6.25</v>
      </c>
      <c r="J41" s="2">
        <v>203.8</v>
      </c>
      <c r="K41" s="2">
        <v>238.5</v>
      </c>
      <c r="L41" s="2">
        <v>0.90700000000000003</v>
      </c>
      <c r="M41" s="2">
        <v>0.8</v>
      </c>
      <c r="N41" s="2">
        <v>113.9</v>
      </c>
      <c r="O41" s="2">
        <v>130.80000000000001</v>
      </c>
      <c r="P41" s="2">
        <v>24.8</v>
      </c>
      <c r="Q41" s="2">
        <v>28.6</v>
      </c>
      <c r="R41" s="2">
        <v>3.8</v>
      </c>
      <c r="S41" s="2">
        <v>131.49</v>
      </c>
      <c r="T41" s="2">
        <v>352.4</v>
      </c>
      <c r="U41" s="2">
        <v>334.6</v>
      </c>
      <c r="V41" s="2">
        <v>0.08</v>
      </c>
      <c r="W41" s="2" t="s">
        <v>168</v>
      </c>
    </row>
    <row r="42" spans="1:23" x14ac:dyDescent="0.3">
      <c r="A42" s="2" cm="1">
        <f t="array" ref="A42">CountByColumnLogic(C42:W42)</f>
        <v>8</v>
      </c>
      <c r="B42" t="s">
        <v>209</v>
      </c>
      <c r="C42" s="2">
        <v>3.8</v>
      </c>
      <c r="D42" s="2">
        <v>133</v>
      </c>
      <c r="E42" s="2">
        <v>83.6</v>
      </c>
      <c r="F42" s="2">
        <v>42.5</v>
      </c>
      <c r="G42" s="2">
        <v>0.503</v>
      </c>
      <c r="H42" s="2">
        <v>0.37</v>
      </c>
      <c r="I42" s="2">
        <v>6.31</v>
      </c>
      <c r="J42" s="2">
        <v>212</v>
      </c>
      <c r="K42" s="2">
        <v>244.8</v>
      </c>
      <c r="L42" s="2">
        <v>0.81</v>
      </c>
      <c r="M42" s="2">
        <v>0.82799999999999996</v>
      </c>
      <c r="N42" s="2">
        <v>111.6</v>
      </c>
      <c r="O42" s="2">
        <v>302.89999999999998</v>
      </c>
      <c r="P42" s="2">
        <v>22.2</v>
      </c>
      <c r="Q42" s="2">
        <v>40.799999999999997</v>
      </c>
      <c r="R42" s="2">
        <v>18.600000000000001</v>
      </c>
      <c r="S42" s="2">
        <v>174.48</v>
      </c>
      <c r="T42" s="2">
        <v>356.4</v>
      </c>
      <c r="U42" s="2">
        <v>514.9</v>
      </c>
      <c r="V42" s="2">
        <v>0.69</v>
      </c>
      <c r="W42" s="2" t="s">
        <v>168</v>
      </c>
    </row>
    <row r="43" spans="1:23" x14ac:dyDescent="0.3">
      <c r="A43" s="2" cm="1">
        <f t="array" ref="A43">CountByColumnLogic(C43:W43)</f>
        <v>14</v>
      </c>
      <c r="B43" t="s">
        <v>210</v>
      </c>
      <c r="C43" s="2">
        <v>-5.4</v>
      </c>
      <c r="D43" s="2">
        <v>122</v>
      </c>
      <c r="E43" s="2">
        <v>53.3</v>
      </c>
      <c r="F43" s="2">
        <v>37.1</v>
      </c>
      <c r="G43" s="2">
        <v>0.41699999999999998</v>
      </c>
      <c r="H43" s="2">
        <v>0.44900000000000001</v>
      </c>
      <c r="I43" s="2">
        <v>6.25</v>
      </c>
      <c r="J43" s="2">
        <v>221.8</v>
      </c>
      <c r="K43" s="2">
        <v>213.2</v>
      </c>
      <c r="L43" s="2">
        <v>0.80800000000000005</v>
      </c>
      <c r="M43" s="2">
        <v>0.8</v>
      </c>
      <c r="N43" s="2">
        <v>160.9</v>
      </c>
      <c r="O43" s="2">
        <v>182.7</v>
      </c>
      <c r="P43" s="2">
        <v>28.2</v>
      </c>
      <c r="Q43" s="2">
        <v>32.200000000000003</v>
      </c>
      <c r="R43" s="2">
        <v>4</v>
      </c>
      <c r="S43" s="2">
        <v>148.97</v>
      </c>
      <c r="T43" s="2">
        <v>374.2</v>
      </c>
      <c r="U43" s="2">
        <v>404.5</v>
      </c>
      <c r="V43" s="2">
        <v>-0.25</v>
      </c>
      <c r="W43" s="2" t="s">
        <v>168</v>
      </c>
    </row>
    <row r="44" spans="1:23" x14ac:dyDescent="0.3">
      <c r="A44" s="2" cm="1">
        <f t="array" ref="A44">CountByColumnLogic(C44:W44)</f>
        <v>8</v>
      </c>
      <c r="B44" t="s">
        <v>211</v>
      </c>
      <c r="C44" s="2">
        <v>11.4</v>
      </c>
      <c r="D44" s="2">
        <v>53</v>
      </c>
      <c r="E44" s="2">
        <v>63.9</v>
      </c>
      <c r="F44" s="2">
        <v>75.7</v>
      </c>
      <c r="G44" s="2">
        <v>0.36399999999999999</v>
      </c>
      <c r="H44" s="2">
        <v>0.28100000000000003</v>
      </c>
      <c r="I44" s="2">
        <v>5.69</v>
      </c>
      <c r="J44" s="2">
        <v>244</v>
      </c>
      <c r="K44" s="2">
        <v>205.4</v>
      </c>
      <c r="L44" s="2">
        <v>0.69</v>
      </c>
      <c r="M44" s="2">
        <v>0.80900000000000005</v>
      </c>
      <c r="N44" s="2">
        <v>101.9</v>
      </c>
      <c r="O44" s="2">
        <v>175.3</v>
      </c>
      <c r="P44" s="2">
        <v>19.7</v>
      </c>
      <c r="Q44" s="2">
        <v>30.9</v>
      </c>
      <c r="R44" s="2">
        <v>11.2</v>
      </c>
      <c r="S44" s="2">
        <v>146.22999999999999</v>
      </c>
      <c r="T44" s="2">
        <v>307.3</v>
      </c>
      <c r="U44" s="2">
        <v>419.3</v>
      </c>
      <c r="V44" s="2">
        <v>0.15</v>
      </c>
      <c r="W44" s="2" t="s">
        <v>168</v>
      </c>
    </row>
    <row r="45" spans="1:23" x14ac:dyDescent="0.3">
      <c r="A45" s="2" cm="1">
        <f t="array" ref="A45">CountByColumnLogic(C45:W45)</f>
        <v>9</v>
      </c>
      <c r="B45" t="s">
        <v>212</v>
      </c>
      <c r="C45" s="2">
        <v>20.8</v>
      </c>
      <c r="D45" s="2">
        <v>10</v>
      </c>
      <c r="E45" s="2">
        <v>97.5</v>
      </c>
      <c r="F45" s="2">
        <v>37.1</v>
      </c>
      <c r="G45" s="2">
        <v>0.56699999999999995</v>
      </c>
      <c r="H45" s="2">
        <v>0.45300000000000001</v>
      </c>
      <c r="I45" s="2">
        <v>6.17</v>
      </c>
      <c r="J45" s="2">
        <v>334.2</v>
      </c>
      <c r="K45" s="2">
        <v>245.4</v>
      </c>
      <c r="L45" s="2">
        <v>0.90500000000000003</v>
      </c>
      <c r="M45" s="2">
        <v>0.90200000000000002</v>
      </c>
      <c r="N45" s="2">
        <v>163.80000000000001</v>
      </c>
      <c r="O45" s="2">
        <v>213.5</v>
      </c>
      <c r="P45" s="2">
        <v>27.8</v>
      </c>
      <c r="Q45" s="2">
        <v>46.4</v>
      </c>
      <c r="R45" s="2">
        <v>18.600000000000001</v>
      </c>
      <c r="S45" s="2">
        <v>196.51</v>
      </c>
      <c r="T45" s="2">
        <v>409.2</v>
      </c>
      <c r="U45" s="2">
        <v>547.79999999999995</v>
      </c>
      <c r="V45" s="2">
        <v>0.5</v>
      </c>
      <c r="W45" s="2">
        <v>5</v>
      </c>
    </row>
    <row r="46" spans="1:23" x14ac:dyDescent="0.3">
      <c r="A46" s="2" cm="1">
        <f t="array" ref="A46">CountByColumnLogic(C46:W46)</f>
        <v>16</v>
      </c>
      <c r="B46" t="s">
        <v>213</v>
      </c>
      <c r="C46" s="2">
        <v>-5.7</v>
      </c>
      <c r="D46" s="2">
        <v>107</v>
      </c>
      <c r="E46" s="2">
        <v>30.1</v>
      </c>
      <c r="F46" s="2">
        <v>54.9</v>
      </c>
      <c r="G46" s="2">
        <v>0.317</v>
      </c>
      <c r="H46" s="2">
        <v>0.31</v>
      </c>
      <c r="I46" s="2">
        <v>6.33</v>
      </c>
      <c r="J46" s="2">
        <v>223.5</v>
      </c>
      <c r="K46" s="2">
        <v>218.5</v>
      </c>
      <c r="L46" s="2">
        <v>0.71699999999999997</v>
      </c>
      <c r="M46" s="2">
        <v>0.75</v>
      </c>
      <c r="N46" s="2">
        <v>157.19999999999999</v>
      </c>
      <c r="O46" s="2">
        <v>134.19999999999999</v>
      </c>
      <c r="P46" s="2">
        <v>28.2</v>
      </c>
      <c r="Q46" s="2">
        <v>23.2</v>
      </c>
      <c r="R46" s="2">
        <v>-5</v>
      </c>
      <c r="S46" s="2">
        <v>123.44</v>
      </c>
      <c r="T46" s="2">
        <v>375.8</v>
      </c>
      <c r="U46" s="2">
        <v>357.8</v>
      </c>
      <c r="V46" s="2">
        <v>-1.08</v>
      </c>
      <c r="W46" s="2" t="s">
        <v>168</v>
      </c>
    </row>
    <row r="47" spans="1:23" x14ac:dyDescent="0.3">
      <c r="A47" s="2" cm="1">
        <f t="array" ref="A47">CountByColumnLogic(C47:W47)</f>
        <v>10</v>
      </c>
      <c r="B47" t="s">
        <v>214</v>
      </c>
      <c r="C47" s="2">
        <v>8.1</v>
      </c>
      <c r="D47" s="2">
        <v>9</v>
      </c>
      <c r="E47" s="2">
        <v>64.8</v>
      </c>
      <c r="F47" s="2">
        <v>61.7</v>
      </c>
      <c r="G47" s="2">
        <v>0.44400000000000001</v>
      </c>
      <c r="H47" s="2">
        <v>0.34799999999999998</v>
      </c>
      <c r="I47" s="2">
        <v>5.42</v>
      </c>
      <c r="J47" s="2">
        <v>284.8</v>
      </c>
      <c r="K47" s="2">
        <v>207.3</v>
      </c>
      <c r="L47" s="2">
        <v>0.83</v>
      </c>
      <c r="M47" s="2">
        <v>0.83699999999999997</v>
      </c>
      <c r="N47" s="2">
        <v>129.6</v>
      </c>
      <c r="O47" s="2">
        <v>108.9</v>
      </c>
      <c r="P47" s="2">
        <v>23.2</v>
      </c>
      <c r="Q47" s="2">
        <v>29.6</v>
      </c>
      <c r="R47" s="2">
        <v>6.4</v>
      </c>
      <c r="S47" s="2">
        <v>142.49</v>
      </c>
      <c r="T47" s="2">
        <v>336.9</v>
      </c>
      <c r="U47" s="2">
        <v>393.8</v>
      </c>
      <c r="V47" s="2">
        <v>0</v>
      </c>
      <c r="W47" s="2" t="s">
        <v>168</v>
      </c>
    </row>
    <row r="48" spans="1:23" x14ac:dyDescent="0.3">
      <c r="A48" s="2" cm="1">
        <f t="array" ref="A48">CountByColumnLogic(C48:W48)</f>
        <v>11</v>
      </c>
      <c r="B48" t="s">
        <v>215</v>
      </c>
      <c r="C48" s="2">
        <v>2.7</v>
      </c>
      <c r="D48" s="2">
        <v>101</v>
      </c>
      <c r="E48" s="2">
        <v>65.900000000000006</v>
      </c>
      <c r="F48" s="2">
        <v>40.200000000000003</v>
      </c>
      <c r="G48" s="2">
        <v>0.44900000000000001</v>
      </c>
      <c r="H48" s="2">
        <v>0.316</v>
      </c>
      <c r="I48" s="2">
        <v>4.42</v>
      </c>
      <c r="J48" s="2">
        <v>301.7</v>
      </c>
      <c r="K48" s="2">
        <v>253.2</v>
      </c>
      <c r="L48" s="2">
        <v>0.82599999999999996</v>
      </c>
      <c r="M48" s="2">
        <v>0.89800000000000002</v>
      </c>
      <c r="N48" s="2">
        <v>168.2</v>
      </c>
      <c r="O48" s="2">
        <v>150.80000000000001</v>
      </c>
      <c r="P48" s="2">
        <v>29</v>
      </c>
      <c r="Q48" s="2">
        <v>39.700000000000003</v>
      </c>
      <c r="R48" s="2">
        <v>10.7</v>
      </c>
      <c r="S48" s="2">
        <v>151.4</v>
      </c>
      <c r="T48" s="2">
        <v>421.3</v>
      </c>
      <c r="U48" s="2">
        <v>452.5</v>
      </c>
      <c r="V48" s="2">
        <v>0.42</v>
      </c>
      <c r="W48" s="2" t="s">
        <v>168</v>
      </c>
    </row>
    <row r="49" spans="1:23" x14ac:dyDescent="0.3">
      <c r="A49" s="2" cm="1">
        <f t="array" ref="A49">CountByColumnLogic(C49:W49)</f>
        <v>10</v>
      </c>
      <c r="B49" t="s">
        <v>216</v>
      </c>
      <c r="C49" s="2">
        <v>11.2</v>
      </c>
      <c r="D49" s="2">
        <v>56</v>
      </c>
      <c r="E49" s="2">
        <v>66.7</v>
      </c>
      <c r="F49" s="2">
        <v>63.2</v>
      </c>
      <c r="G49" s="2">
        <v>0.41699999999999998</v>
      </c>
      <c r="H49" s="2">
        <v>0.35399999999999998</v>
      </c>
      <c r="I49" s="2">
        <v>6.17</v>
      </c>
      <c r="J49" s="2">
        <v>264.39999999999998</v>
      </c>
      <c r="K49" s="2">
        <v>227</v>
      </c>
      <c r="L49" s="2">
        <v>0.86399999999999999</v>
      </c>
      <c r="M49" s="2">
        <v>0.83699999999999997</v>
      </c>
      <c r="N49" s="2">
        <v>97.1</v>
      </c>
      <c r="O49" s="2">
        <v>176.8</v>
      </c>
      <c r="P49" s="2">
        <v>22.1</v>
      </c>
      <c r="Q49" s="2">
        <v>32.1</v>
      </c>
      <c r="R49" s="2">
        <v>10</v>
      </c>
      <c r="S49" s="2">
        <v>142.25</v>
      </c>
      <c r="T49" s="2">
        <v>324.10000000000002</v>
      </c>
      <c r="U49" s="2">
        <v>441.2</v>
      </c>
      <c r="V49" s="2">
        <v>-0.25</v>
      </c>
      <c r="W49" s="2" t="s">
        <v>168</v>
      </c>
    </row>
    <row r="50" spans="1:23" x14ac:dyDescent="0.3">
      <c r="A50" s="2" cm="1">
        <f t="array" ref="A50">CountByColumnLogic(C50:W50)</f>
        <v>12</v>
      </c>
      <c r="B50" t="s">
        <v>217</v>
      </c>
      <c r="C50" s="2">
        <v>-1.3</v>
      </c>
      <c r="D50" s="2">
        <v>114</v>
      </c>
      <c r="E50" s="2">
        <v>38.9</v>
      </c>
      <c r="F50" s="2">
        <v>64.099999999999994</v>
      </c>
      <c r="G50" s="2">
        <v>0.36799999999999999</v>
      </c>
      <c r="H50" s="2">
        <v>0.29599999999999999</v>
      </c>
      <c r="I50" s="2">
        <v>4.92</v>
      </c>
      <c r="J50" s="2">
        <v>174.8</v>
      </c>
      <c r="K50" s="2">
        <v>197.2</v>
      </c>
      <c r="L50" s="2">
        <v>0.77800000000000002</v>
      </c>
      <c r="M50" s="2">
        <v>0.92</v>
      </c>
      <c r="N50" s="2">
        <v>128.80000000000001</v>
      </c>
      <c r="O50" s="2">
        <v>156.19999999999999</v>
      </c>
      <c r="P50" s="2">
        <v>16.2</v>
      </c>
      <c r="Q50" s="2">
        <v>26.9</v>
      </c>
      <c r="R50" s="2">
        <v>10.7</v>
      </c>
      <c r="S50" s="2">
        <v>137.33000000000001</v>
      </c>
      <c r="T50" s="2">
        <v>325.89999999999998</v>
      </c>
      <c r="U50" s="2">
        <v>330.9</v>
      </c>
      <c r="V50" s="2">
        <v>0</v>
      </c>
      <c r="W50" s="2" t="s">
        <v>168</v>
      </c>
    </row>
    <row r="51" spans="1:23" x14ac:dyDescent="0.3">
      <c r="A51" s="2" cm="1">
        <f t="array" ref="A51">CountByColumnLogic(C51:W51)</f>
        <v>2</v>
      </c>
      <c r="B51" t="s">
        <v>218</v>
      </c>
      <c r="C51" s="2">
        <v>27.6</v>
      </c>
      <c r="D51" s="2">
        <v>34</v>
      </c>
      <c r="E51" s="2">
        <v>88.2</v>
      </c>
      <c r="F51" s="2">
        <v>91.3</v>
      </c>
      <c r="G51" s="2">
        <v>0.46700000000000003</v>
      </c>
      <c r="H51" s="2">
        <v>0.308</v>
      </c>
      <c r="I51" s="2">
        <v>2.92</v>
      </c>
      <c r="J51" s="2">
        <v>218.8</v>
      </c>
      <c r="K51" s="2">
        <v>152.6</v>
      </c>
      <c r="L51" s="2">
        <v>0.71399999999999997</v>
      </c>
      <c r="M51" s="2">
        <v>0.88100000000000001</v>
      </c>
      <c r="N51" s="2">
        <v>86.6</v>
      </c>
      <c r="O51" s="2">
        <v>161.80000000000001</v>
      </c>
      <c r="P51" s="2">
        <v>9.5</v>
      </c>
      <c r="Q51" s="2">
        <v>36.700000000000003</v>
      </c>
      <c r="R51" s="2">
        <v>27.2</v>
      </c>
      <c r="S51" s="2">
        <v>168.63</v>
      </c>
      <c r="T51" s="2">
        <v>239.2</v>
      </c>
      <c r="U51" s="2">
        <v>380.5</v>
      </c>
      <c r="V51" s="2">
        <v>1.31</v>
      </c>
      <c r="W51" s="2">
        <v>2</v>
      </c>
    </row>
    <row r="52" spans="1:23" x14ac:dyDescent="0.3">
      <c r="A52" s="2" cm="1">
        <f t="array" ref="A52">CountByColumnLogic(C52:W52)</f>
        <v>16</v>
      </c>
      <c r="B52" t="s">
        <v>219</v>
      </c>
      <c r="C52" s="2">
        <v>-0.6</v>
      </c>
      <c r="D52" s="2">
        <v>20</v>
      </c>
      <c r="E52" s="2">
        <v>45.3</v>
      </c>
      <c r="F52" s="2">
        <v>46.4</v>
      </c>
      <c r="G52" s="2">
        <v>0.34799999999999998</v>
      </c>
      <c r="H52" s="2">
        <v>0.47199999999999998</v>
      </c>
      <c r="I52" s="2">
        <v>3</v>
      </c>
      <c r="J52" s="2">
        <v>153.19999999999999</v>
      </c>
      <c r="K52" s="2">
        <v>219.2</v>
      </c>
      <c r="L52" s="2">
        <v>0.95</v>
      </c>
      <c r="M52" s="2">
        <v>0.94099999999999995</v>
      </c>
      <c r="N52" s="2">
        <v>154.69999999999999</v>
      </c>
      <c r="O52" s="2">
        <v>149.4</v>
      </c>
      <c r="P52" s="2">
        <v>26.9</v>
      </c>
      <c r="Q52" s="2">
        <v>20.2</v>
      </c>
      <c r="R52" s="2">
        <v>-6.7</v>
      </c>
      <c r="S52" s="2">
        <v>113.71</v>
      </c>
      <c r="T52" s="2">
        <v>373.8</v>
      </c>
      <c r="U52" s="2">
        <v>302.60000000000002</v>
      </c>
      <c r="V52" s="2">
        <v>0.25</v>
      </c>
      <c r="W52" s="2" t="s">
        <v>168</v>
      </c>
    </row>
    <row r="53" spans="1:23" x14ac:dyDescent="0.3">
      <c r="A53" s="2" cm="1">
        <f t="array" ref="A53">CountByColumnLogic(C53:W53)</f>
        <v>8</v>
      </c>
      <c r="B53" t="s">
        <v>220</v>
      </c>
      <c r="C53" s="2">
        <v>15.3</v>
      </c>
      <c r="D53" s="2">
        <v>33</v>
      </c>
      <c r="E53" s="2">
        <v>79.3</v>
      </c>
      <c r="F53" s="2">
        <v>67.900000000000006</v>
      </c>
      <c r="G53" s="2">
        <v>0.44400000000000001</v>
      </c>
      <c r="H53" s="2">
        <v>0.38800000000000001</v>
      </c>
      <c r="I53" s="2">
        <v>7.17</v>
      </c>
      <c r="J53" s="2">
        <v>273.5</v>
      </c>
      <c r="K53" s="2">
        <v>222.2</v>
      </c>
      <c r="L53" s="2">
        <v>0.82099999999999995</v>
      </c>
      <c r="M53" s="2">
        <v>0.98199999999999998</v>
      </c>
      <c r="N53" s="2">
        <v>125</v>
      </c>
      <c r="O53" s="2">
        <v>169.4</v>
      </c>
      <c r="P53" s="2">
        <v>22.3</v>
      </c>
      <c r="Q53" s="2">
        <v>34.1</v>
      </c>
      <c r="R53" s="2">
        <v>11.8</v>
      </c>
      <c r="S53" s="2">
        <v>158.69</v>
      </c>
      <c r="T53" s="2">
        <v>347.2</v>
      </c>
      <c r="U53" s="2">
        <v>442.9</v>
      </c>
      <c r="V53" s="2">
        <v>0.75</v>
      </c>
      <c r="W53" s="2" t="s">
        <v>168</v>
      </c>
    </row>
    <row r="54" spans="1:23" x14ac:dyDescent="0.3">
      <c r="A54" s="2" cm="1">
        <f t="array" ref="A54">CountByColumnLogic(C54:W54)</f>
        <v>9</v>
      </c>
      <c r="B54" t="s">
        <v>221</v>
      </c>
      <c r="C54" s="2">
        <v>6.9</v>
      </c>
      <c r="D54" s="2">
        <v>65</v>
      </c>
      <c r="E54" s="2">
        <v>47.2</v>
      </c>
      <c r="F54" s="2">
        <v>75.7</v>
      </c>
      <c r="G54" s="2">
        <v>0.39500000000000002</v>
      </c>
      <c r="H54" s="2">
        <v>0.27700000000000002</v>
      </c>
      <c r="I54" s="2">
        <v>6</v>
      </c>
      <c r="J54" s="2">
        <v>196.4</v>
      </c>
      <c r="K54" s="2">
        <v>218.8</v>
      </c>
      <c r="L54" s="2">
        <v>0.83299999999999996</v>
      </c>
      <c r="M54" s="2">
        <v>0.84099999999999997</v>
      </c>
      <c r="N54" s="2">
        <v>104.8</v>
      </c>
      <c r="O54" s="2">
        <v>149.9</v>
      </c>
      <c r="P54" s="2">
        <v>20.2</v>
      </c>
      <c r="Q54" s="2">
        <v>26.7</v>
      </c>
      <c r="R54" s="2">
        <v>6.5</v>
      </c>
      <c r="S54" s="2">
        <v>128.19999999999999</v>
      </c>
      <c r="T54" s="2">
        <v>323.5</v>
      </c>
      <c r="U54" s="2">
        <v>346.3</v>
      </c>
      <c r="V54" s="2">
        <v>0.83</v>
      </c>
      <c r="W54" s="2" t="s">
        <v>168</v>
      </c>
    </row>
    <row r="55" spans="1:23" x14ac:dyDescent="0.3">
      <c r="A55" s="2" cm="1">
        <f t="array" ref="A55">CountByColumnLogic(C55:W55)</f>
        <v>12</v>
      </c>
      <c r="B55" t="s">
        <v>222</v>
      </c>
      <c r="C55" s="2">
        <v>-5.6</v>
      </c>
      <c r="D55" s="2">
        <v>106</v>
      </c>
      <c r="E55" s="2">
        <v>64</v>
      </c>
      <c r="F55" s="2">
        <v>34.1</v>
      </c>
      <c r="G55" s="2">
        <v>0.439</v>
      </c>
      <c r="H55" s="2">
        <v>0.35399999999999998</v>
      </c>
      <c r="I55" s="2">
        <v>6.43</v>
      </c>
      <c r="J55" s="2">
        <v>224.9</v>
      </c>
      <c r="K55" s="2">
        <v>239.3</v>
      </c>
      <c r="L55" s="2">
        <v>0.71399999999999997</v>
      </c>
      <c r="M55" s="2">
        <v>0.86299999999999999</v>
      </c>
      <c r="N55" s="2">
        <v>145.4</v>
      </c>
      <c r="O55" s="2">
        <v>202.7</v>
      </c>
      <c r="P55" s="2">
        <v>21.8</v>
      </c>
      <c r="Q55" s="2">
        <v>28.7</v>
      </c>
      <c r="R55" s="2">
        <v>6.9</v>
      </c>
      <c r="S55" s="2">
        <v>152.94</v>
      </c>
      <c r="T55" s="2">
        <v>384.7</v>
      </c>
      <c r="U55" s="2">
        <v>427.6</v>
      </c>
      <c r="V55" s="2">
        <v>-0.21</v>
      </c>
      <c r="W55" s="2" t="s">
        <v>168</v>
      </c>
    </row>
    <row r="56" spans="1:23" x14ac:dyDescent="0.3">
      <c r="A56" s="2" cm="1">
        <f t="array" ref="A56">CountByColumnLogic(C56:W56)</f>
        <v>11</v>
      </c>
      <c r="B56" t="s">
        <v>223</v>
      </c>
      <c r="C56" s="2">
        <v>10.199999999999999</v>
      </c>
      <c r="D56" s="2">
        <v>77</v>
      </c>
      <c r="E56" s="2">
        <v>77.099999999999994</v>
      </c>
      <c r="F56" s="2">
        <v>45.5</v>
      </c>
      <c r="G56" s="2">
        <v>0.49099999999999999</v>
      </c>
      <c r="H56" s="2">
        <v>0.39200000000000002</v>
      </c>
      <c r="I56" s="2">
        <v>7.08</v>
      </c>
      <c r="J56" s="2">
        <v>306.8</v>
      </c>
      <c r="K56" s="2">
        <v>242.3</v>
      </c>
      <c r="L56" s="2">
        <v>0.78400000000000003</v>
      </c>
      <c r="M56" s="2">
        <v>0.89300000000000002</v>
      </c>
      <c r="N56" s="2">
        <v>163.1</v>
      </c>
      <c r="O56" s="2">
        <v>197.1</v>
      </c>
      <c r="P56" s="2">
        <v>27.1</v>
      </c>
      <c r="Q56" s="2">
        <v>36.6</v>
      </c>
      <c r="R56" s="2">
        <v>9.5</v>
      </c>
      <c r="S56" s="2">
        <v>149.6</v>
      </c>
      <c r="T56" s="2">
        <v>405.4</v>
      </c>
      <c r="U56" s="2">
        <v>503.9</v>
      </c>
      <c r="V56" s="2">
        <v>0.57999999999999996</v>
      </c>
      <c r="W56" s="2">
        <v>21</v>
      </c>
    </row>
    <row r="57" spans="1:23" x14ac:dyDescent="0.3">
      <c r="A57" s="2" cm="1">
        <f t="array" ref="A57">CountByColumnLogic(C57:W57)</f>
        <v>14</v>
      </c>
      <c r="B57" t="s">
        <v>224</v>
      </c>
      <c r="C57" s="2">
        <v>-7.3</v>
      </c>
      <c r="D57" s="2">
        <v>131</v>
      </c>
      <c r="E57" s="2">
        <v>53.5</v>
      </c>
      <c r="F57" s="2">
        <v>70.7</v>
      </c>
      <c r="G57" s="2">
        <v>0.41399999999999998</v>
      </c>
      <c r="H57" s="2">
        <v>0.4</v>
      </c>
      <c r="I57" s="2">
        <v>4.58</v>
      </c>
      <c r="J57" s="2">
        <v>186.2</v>
      </c>
      <c r="K57" s="2">
        <v>164.6</v>
      </c>
      <c r="L57" s="2">
        <v>0.878</v>
      </c>
      <c r="M57" s="2">
        <v>0.85299999999999998</v>
      </c>
      <c r="N57" s="2">
        <v>152.30000000000001</v>
      </c>
      <c r="O57" s="2">
        <v>178.8</v>
      </c>
      <c r="P57" s="2">
        <v>21.2</v>
      </c>
      <c r="Q57" s="2">
        <v>25.2</v>
      </c>
      <c r="R57" s="2">
        <v>4</v>
      </c>
      <c r="S57" s="2">
        <v>121.62</v>
      </c>
      <c r="T57" s="2">
        <v>316.89999999999998</v>
      </c>
      <c r="U57" s="2">
        <v>365.1</v>
      </c>
      <c r="V57" s="2">
        <v>-0.17</v>
      </c>
      <c r="W57" s="2" t="s">
        <v>168</v>
      </c>
    </row>
    <row r="58" spans="1:23" x14ac:dyDescent="0.3">
      <c r="A58" s="2" cm="1">
        <f t="array" ref="A58">CountByColumnLogic(C58:W58)</f>
        <v>12</v>
      </c>
      <c r="B58" t="s">
        <v>225</v>
      </c>
      <c r="C58" s="2">
        <v>-0.3</v>
      </c>
      <c r="D58" s="2">
        <v>59</v>
      </c>
      <c r="E58" s="2">
        <v>44.7</v>
      </c>
      <c r="F58" s="2">
        <v>52.8</v>
      </c>
      <c r="G58" s="2">
        <v>0.41399999999999998</v>
      </c>
      <c r="H58" s="2">
        <v>0.40200000000000002</v>
      </c>
      <c r="I58" s="2">
        <v>5.42</v>
      </c>
      <c r="J58" s="2">
        <v>200.1</v>
      </c>
      <c r="K58" s="2">
        <v>192.1</v>
      </c>
      <c r="L58" s="2">
        <v>0.79100000000000004</v>
      </c>
      <c r="M58" s="2">
        <v>0.89500000000000002</v>
      </c>
      <c r="N58" s="2">
        <v>159.5</v>
      </c>
      <c r="O58" s="2">
        <v>105</v>
      </c>
      <c r="P58" s="2">
        <v>23.8</v>
      </c>
      <c r="Q58" s="2">
        <v>22.8</v>
      </c>
      <c r="R58" s="2">
        <v>-1</v>
      </c>
      <c r="S58" s="2">
        <v>132.02000000000001</v>
      </c>
      <c r="T58" s="2">
        <v>351.6</v>
      </c>
      <c r="U58" s="2">
        <v>305.10000000000002</v>
      </c>
      <c r="V58" s="2">
        <v>0.83</v>
      </c>
      <c r="W58" s="2" t="s">
        <v>168</v>
      </c>
    </row>
    <row r="59" spans="1:23" x14ac:dyDescent="0.3">
      <c r="A59" s="2" cm="1">
        <f t="array" ref="A59">CountByColumnLogic(C59:W59)</f>
        <v>2</v>
      </c>
      <c r="B59" t="s">
        <v>226</v>
      </c>
      <c r="C59" s="2">
        <v>20.7</v>
      </c>
      <c r="D59" s="2">
        <v>48</v>
      </c>
      <c r="E59" s="2">
        <v>78.400000000000006</v>
      </c>
      <c r="F59" s="2">
        <v>77.900000000000006</v>
      </c>
      <c r="G59" s="2">
        <v>0.432</v>
      </c>
      <c r="H59" s="2">
        <v>0.35799999999999998</v>
      </c>
      <c r="I59" s="2">
        <v>5.5</v>
      </c>
      <c r="J59" s="2">
        <v>247.8</v>
      </c>
      <c r="K59" s="2">
        <v>154.19999999999999</v>
      </c>
      <c r="L59" s="2">
        <v>0.70599999999999996</v>
      </c>
      <c r="M59" s="2">
        <v>0.89400000000000002</v>
      </c>
      <c r="N59" s="2">
        <v>128.80000000000001</v>
      </c>
      <c r="O59" s="2">
        <v>181.5</v>
      </c>
      <c r="P59" s="2">
        <v>16.600000000000001</v>
      </c>
      <c r="Q59" s="2">
        <v>39.1</v>
      </c>
      <c r="R59" s="2">
        <v>22.5</v>
      </c>
      <c r="S59" s="2">
        <v>161.49</v>
      </c>
      <c r="T59" s="2">
        <v>282.89999999999998</v>
      </c>
      <c r="U59" s="2">
        <v>429.2</v>
      </c>
      <c r="V59" s="2">
        <v>0.5</v>
      </c>
      <c r="W59" s="2">
        <v>13</v>
      </c>
    </row>
    <row r="60" spans="1:23" x14ac:dyDescent="0.3">
      <c r="A60" s="2" cm="1">
        <f t="array" ref="A60">CountByColumnLogic(C60:W60)</f>
        <v>10</v>
      </c>
      <c r="B60" t="s">
        <v>227</v>
      </c>
      <c r="C60" s="2">
        <v>-5</v>
      </c>
      <c r="D60" s="2">
        <v>130</v>
      </c>
      <c r="E60" s="2">
        <v>39.9</v>
      </c>
      <c r="F60" s="2">
        <v>60.4</v>
      </c>
      <c r="G60" s="2">
        <v>0.438</v>
      </c>
      <c r="H60" s="2">
        <v>0.29499999999999998</v>
      </c>
      <c r="I60" s="2">
        <v>5.58</v>
      </c>
      <c r="J60" s="2">
        <v>210.6</v>
      </c>
      <c r="K60" s="2">
        <v>168.4</v>
      </c>
      <c r="L60" s="2">
        <v>0.75900000000000001</v>
      </c>
      <c r="M60" s="2">
        <v>0.84399999999999997</v>
      </c>
      <c r="N60" s="2">
        <v>96</v>
      </c>
      <c r="O60" s="2">
        <v>137.1</v>
      </c>
      <c r="P60" s="2">
        <v>15.4</v>
      </c>
      <c r="Q60" s="2">
        <v>22.9</v>
      </c>
      <c r="R60" s="2">
        <v>7.5</v>
      </c>
      <c r="S60" s="2">
        <v>128.55000000000001</v>
      </c>
      <c r="T60" s="2">
        <v>264.39999999999998</v>
      </c>
      <c r="U60" s="2">
        <v>347.7</v>
      </c>
      <c r="V60" s="2">
        <v>0.42</v>
      </c>
      <c r="W60" s="2" t="s">
        <v>168</v>
      </c>
    </row>
    <row r="61" spans="1:23" x14ac:dyDescent="0.3">
      <c r="A61" s="2" cm="1">
        <f t="array" ref="A61">CountByColumnLogic(C61:W61)</f>
        <v>4</v>
      </c>
      <c r="B61" t="s">
        <v>228</v>
      </c>
      <c r="C61" s="2">
        <v>27.5</v>
      </c>
      <c r="D61" s="2">
        <v>7</v>
      </c>
      <c r="E61" s="2">
        <v>83.4</v>
      </c>
      <c r="F61" s="2">
        <v>86.6</v>
      </c>
      <c r="G61" s="2">
        <v>0.46400000000000002</v>
      </c>
      <c r="H61" s="2">
        <v>0.28899999999999998</v>
      </c>
      <c r="I61" s="2">
        <v>5.5</v>
      </c>
      <c r="J61" s="2">
        <v>282.7</v>
      </c>
      <c r="K61" s="2">
        <v>147.4</v>
      </c>
      <c r="L61" s="2">
        <v>0.76</v>
      </c>
      <c r="M61" s="2">
        <v>0.86</v>
      </c>
      <c r="N61" s="2">
        <v>112.5</v>
      </c>
      <c r="O61" s="2">
        <v>142.30000000000001</v>
      </c>
      <c r="P61" s="2">
        <v>11</v>
      </c>
      <c r="Q61" s="2">
        <v>32.799999999999997</v>
      </c>
      <c r="R61" s="2">
        <v>21.8</v>
      </c>
      <c r="S61" s="2">
        <v>160.03</v>
      </c>
      <c r="T61" s="2">
        <v>259.89999999999998</v>
      </c>
      <c r="U61" s="2">
        <v>425</v>
      </c>
      <c r="V61" s="2">
        <v>-0.08</v>
      </c>
      <c r="W61" s="2">
        <v>3</v>
      </c>
    </row>
    <row r="62" spans="1:23" x14ac:dyDescent="0.3">
      <c r="A62" s="2" cm="1">
        <f t="array" ref="A62">CountByColumnLogic(C62:W62)</f>
        <v>7</v>
      </c>
      <c r="B62" t="s">
        <v>229</v>
      </c>
      <c r="C62" s="2">
        <v>22.5</v>
      </c>
      <c r="D62" s="2">
        <v>54</v>
      </c>
      <c r="E62" s="2">
        <v>84.4</v>
      </c>
      <c r="F62" s="2">
        <v>76.7</v>
      </c>
      <c r="G62" s="2">
        <v>0.49399999999999999</v>
      </c>
      <c r="H62" s="2">
        <v>0.30399999999999999</v>
      </c>
      <c r="I62" s="2">
        <v>6.67</v>
      </c>
      <c r="J62" s="2">
        <v>321.8</v>
      </c>
      <c r="K62" s="2">
        <v>242.2</v>
      </c>
      <c r="L62" s="2">
        <v>0.79500000000000004</v>
      </c>
      <c r="M62" s="2">
        <v>0.89100000000000001</v>
      </c>
      <c r="N62" s="2">
        <v>147.80000000000001</v>
      </c>
      <c r="O62" s="2">
        <v>180.6</v>
      </c>
      <c r="P62" s="2">
        <v>22.2</v>
      </c>
      <c r="Q62" s="2">
        <v>43.2</v>
      </c>
      <c r="R62" s="2">
        <v>21</v>
      </c>
      <c r="S62" s="2">
        <v>172.06</v>
      </c>
      <c r="T62" s="2">
        <v>389.9</v>
      </c>
      <c r="U62" s="2">
        <v>502.4</v>
      </c>
      <c r="V62" s="2">
        <v>0.92</v>
      </c>
      <c r="W62" s="2">
        <v>20</v>
      </c>
    </row>
    <row r="63" spans="1:23" x14ac:dyDescent="0.3">
      <c r="A63" s="2" cm="1">
        <f t="array" ref="A63">CountByColumnLogic(C63:W63)</f>
        <v>15</v>
      </c>
      <c r="B63" t="s">
        <v>230</v>
      </c>
      <c r="C63" s="2">
        <v>6.1</v>
      </c>
      <c r="D63" s="2">
        <v>26</v>
      </c>
      <c r="E63" s="2">
        <v>55.1</v>
      </c>
      <c r="F63" s="2">
        <v>57.8</v>
      </c>
      <c r="G63" s="2">
        <v>0.379</v>
      </c>
      <c r="H63" s="2">
        <v>0.42199999999999999</v>
      </c>
      <c r="I63" s="2">
        <v>5</v>
      </c>
      <c r="J63" s="2">
        <v>264.2</v>
      </c>
      <c r="K63" s="2">
        <v>267.5</v>
      </c>
      <c r="L63" s="2">
        <v>0.84799999999999998</v>
      </c>
      <c r="M63" s="2">
        <v>0.877</v>
      </c>
      <c r="N63" s="2">
        <v>174</v>
      </c>
      <c r="O63" s="2">
        <v>156.9</v>
      </c>
      <c r="P63" s="2">
        <v>29</v>
      </c>
      <c r="Q63" s="2">
        <v>29.5</v>
      </c>
      <c r="R63" s="2">
        <v>0.5</v>
      </c>
      <c r="S63" s="2">
        <v>119.68</v>
      </c>
      <c r="T63" s="2">
        <v>441.5</v>
      </c>
      <c r="U63" s="2">
        <v>421.2</v>
      </c>
      <c r="V63" s="2">
        <v>0.15</v>
      </c>
      <c r="W63" s="2" t="s">
        <v>168</v>
      </c>
    </row>
    <row r="64" spans="1:23" x14ac:dyDescent="0.3">
      <c r="A64" s="2" cm="1">
        <f t="array" ref="A64">CountByColumnLogic(C64:W64)</f>
        <v>16</v>
      </c>
      <c r="B64" t="s">
        <v>231</v>
      </c>
      <c r="C64" s="2">
        <v>-9.5</v>
      </c>
      <c r="D64" s="2">
        <v>108</v>
      </c>
      <c r="E64" s="2">
        <v>23.5</v>
      </c>
      <c r="F64" s="2">
        <v>52.9</v>
      </c>
      <c r="G64" s="2">
        <v>0.35799999999999998</v>
      </c>
      <c r="H64" s="2">
        <v>0.35</v>
      </c>
      <c r="I64" s="2">
        <v>6.17</v>
      </c>
      <c r="J64" s="2">
        <v>200.8</v>
      </c>
      <c r="K64" s="2">
        <v>238.2</v>
      </c>
      <c r="L64" s="2">
        <v>0.77600000000000002</v>
      </c>
      <c r="M64" s="2">
        <v>0.71</v>
      </c>
      <c r="N64" s="2">
        <v>147.4</v>
      </c>
      <c r="O64" s="2">
        <v>149.80000000000001</v>
      </c>
      <c r="P64" s="2">
        <v>26.2</v>
      </c>
      <c r="Q64" s="2">
        <v>22.9</v>
      </c>
      <c r="R64" s="2">
        <v>-3.3</v>
      </c>
      <c r="S64" s="2">
        <v>128.63</v>
      </c>
      <c r="T64" s="2">
        <v>385.7</v>
      </c>
      <c r="U64" s="2">
        <v>350.6</v>
      </c>
      <c r="V64" s="2">
        <v>-0.08</v>
      </c>
      <c r="W64" s="2" t="s">
        <v>168</v>
      </c>
    </row>
    <row r="65" spans="1:23" x14ac:dyDescent="0.3">
      <c r="A65" s="2" cm="1">
        <f t="array" ref="A65">CountByColumnLogic(C65:W65)</f>
        <v>10</v>
      </c>
      <c r="B65" t="s">
        <v>232</v>
      </c>
      <c r="C65" s="2">
        <v>15.3</v>
      </c>
      <c r="D65" s="2">
        <v>6</v>
      </c>
      <c r="E65" s="2">
        <v>76.7</v>
      </c>
      <c r="F65" s="2">
        <v>64.5</v>
      </c>
      <c r="G65" s="2">
        <v>0.36899999999999999</v>
      </c>
      <c r="H65" s="2">
        <v>0.39</v>
      </c>
      <c r="I65" s="2">
        <v>7.42</v>
      </c>
      <c r="J65" s="2">
        <v>276.60000000000002</v>
      </c>
      <c r="K65" s="2">
        <v>220</v>
      </c>
      <c r="L65" s="2">
        <v>0.84199999999999997</v>
      </c>
      <c r="M65" s="2">
        <v>0.873</v>
      </c>
      <c r="N65" s="2">
        <v>151.9</v>
      </c>
      <c r="O65" s="2">
        <v>178.8</v>
      </c>
      <c r="P65" s="2">
        <v>21.8</v>
      </c>
      <c r="Q65" s="2">
        <v>34.799999999999997</v>
      </c>
      <c r="R65" s="2">
        <v>13</v>
      </c>
      <c r="S65" s="2">
        <v>162.24</v>
      </c>
      <c r="T65" s="2">
        <v>371.9</v>
      </c>
      <c r="U65" s="2">
        <v>455.4</v>
      </c>
      <c r="V65" s="2">
        <v>0.75</v>
      </c>
      <c r="W65" s="2">
        <v>22</v>
      </c>
    </row>
    <row r="66" spans="1:23" x14ac:dyDescent="0.3">
      <c r="A66" s="2" cm="1">
        <f t="array" ref="A66">CountByColumnLogic(C66:W66)</f>
        <v>5</v>
      </c>
      <c r="B66" t="s">
        <v>233</v>
      </c>
      <c r="C66" s="2">
        <v>25</v>
      </c>
      <c r="D66" s="2">
        <v>52</v>
      </c>
      <c r="E66" s="2">
        <v>93.3</v>
      </c>
      <c r="F66" s="2">
        <v>73.599999999999994</v>
      </c>
      <c r="G66" s="2">
        <v>0.50700000000000001</v>
      </c>
      <c r="H66" s="2">
        <v>0.35199999999999998</v>
      </c>
      <c r="I66" s="2">
        <v>7</v>
      </c>
      <c r="J66" s="2">
        <v>342.8</v>
      </c>
      <c r="K66" s="2">
        <v>222.8</v>
      </c>
      <c r="L66" s="2">
        <v>0.85</v>
      </c>
      <c r="M66" s="2">
        <v>0.88100000000000001</v>
      </c>
      <c r="N66" s="2">
        <v>97.5</v>
      </c>
      <c r="O66" s="2">
        <v>183.8</v>
      </c>
      <c r="P66" s="2">
        <v>17.3</v>
      </c>
      <c r="Q66" s="2">
        <v>44.2</v>
      </c>
      <c r="R66" s="2">
        <v>26.9</v>
      </c>
      <c r="S66" s="2">
        <v>185.06</v>
      </c>
      <c r="T66" s="2">
        <v>320.3</v>
      </c>
      <c r="U66" s="2">
        <v>526.6</v>
      </c>
      <c r="V66" s="2">
        <v>0.69</v>
      </c>
      <c r="W66" s="2">
        <v>15</v>
      </c>
    </row>
    <row r="67" spans="1:23" x14ac:dyDescent="0.3">
      <c r="A67" s="2" cm="1">
        <f t="array" ref="A67">CountByColumnLogic(C67:W67)</f>
        <v>7</v>
      </c>
      <c r="B67" t="s">
        <v>234</v>
      </c>
      <c r="C67" s="2">
        <v>14</v>
      </c>
      <c r="D67" s="2">
        <v>45</v>
      </c>
      <c r="E67" s="2">
        <v>79.099999999999994</v>
      </c>
      <c r="F67" s="2">
        <v>67.8</v>
      </c>
      <c r="G67" s="2">
        <v>0.40300000000000002</v>
      </c>
      <c r="H67" s="2">
        <v>0.375</v>
      </c>
      <c r="I67" s="2">
        <v>5.83</v>
      </c>
      <c r="J67" s="2">
        <v>246.1</v>
      </c>
      <c r="K67" s="2">
        <v>236.2</v>
      </c>
      <c r="L67" s="2">
        <v>0.83799999999999997</v>
      </c>
      <c r="M67" s="2">
        <v>0.97599999999999998</v>
      </c>
      <c r="N67" s="2">
        <v>104.1</v>
      </c>
      <c r="O67" s="2">
        <v>180.8</v>
      </c>
      <c r="P67" s="2">
        <v>21.5</v>
      </c>
      <c r="Q67" s="2">
        <v>33.799999999999997</v>
      </c>
      <c r="R67" s="2">
        <v>12.3</v>
      </c>
      <c r="S67" s="2">
        <v>148.16999999999999</v>
      </c>
      <c r="T67" s="2">
        <v>340.2</v>
      </c>
      <c r="U67" s="2">
        <v>426.9</v>
      </c>
      <c r="V67" s="2">
        <v>0.57999999999999996</v>
      </c>
      <c r="W67" s="2">
        <v>18</v>
      </c>
    </row>
    <row r="68" spans="1:23" x14ac:dyDescent="0.3">
      <c r="A68" s="2" cm="1">
        <f t="array" ref="A68">CountByColumnLogic(C68:W68)</f>
        <v>5</v>
      </c>
      <c r="B68" t="s">
        <v>235</v>
      </c>
      <c r="C68" s="2">
        <v>25.5</v>
      </c>
      <c r="D68" s="2">
        <v>32</v>
      </c>
      <c r="E68" s="2">
        <v>66.8</v>
      </c>
      <c r="F68" s="2">
        <v>89.4</v>
      </c>
      <c r="G68" s="2">
        <v>0.40799999999999997</v>
      </c>
      <c r="H68" s="2">
        <v>0.29199999999999998</v>
      </c>
      <c r="I68" s="2">
        <v>4.92</v>
      </c>
      <c r="J68" s="2">
        <v>204.3</v>
      </c>
      <c r="K68" s="2">
        <v>153.6</v>
      </c>
      <c r="L68" s="2">
        <v>0.9</v>
      </c>
      <c r="M68" s="2">
        <v>0.95099999999999996</v>
      </c>
      <c r="N68" s="2">
        <v>69.7</v>
      </c>
      <c r="O68" s="2">
        <v>186.7</v>
      </c>
      <c r="P68" s="2">
        <v>11.4</v>
      </c>
      <c r="Q68" s="2">
        <v>37.200000000000003</v>
      </c>
      <c r="R68" s="2">
        <v>25.8</v>
      </c>
      <c r="S68" s="2">
        <v>139.16</v>
      </c>
      <c r="T68" s="2">
        <v>223.2</v>
      </c>
      <c r="U68" s="2">
        <v>391</v>
      </c>
      <c r="V68" s="2">
        <v>1.5</v>
      </c>
      <c r="W68" s="2">
        <v>7</v>
      </c>
    </row>
    <row r="69" spans="1:23" x14ac:dyDescent="0.3">
      <c r="A69" s="2" cm="1">
        <f t="array" ref="A69">CountByColumnLogic(C69:W69)</f>
        <v>14</v>
      </c>
      <c r="B69" t="s">
        <v>236</v>
      </c>
      <c r="C69" s="2">
        <v>-3.9</v>
      </c>
      <c r="D69" s="2">
        <v>82</v>
      </c>
      <c r="E69" s="2">
        <v>54.2</v>
      </c>
      <c r="F69" s="2">
        <v>40.9</v>
      </c>
      <c r="G69" s="2">
        <v>0.39</v>
      </c>
      <c r="H69" s="2">
        <v>0.373</v>
      </c>
      <c r="I69" s="2">
        <v>5.58</v>
      </c>
      <c r="J69" s="2">
        <v>264.2</v>
      </c>
      <c r="K69" s="2">
        <v>216.6</v>
      </c>
      <c r="L69" s="2">
        <v>0.72699999999999998</v>
      </c>
      <c r="M69" s="2">
        <v>0.88900000000000001</v>
      </c>
      <c r="N69" s="2">
        <v>153.5</v>
      </c>
      <c r="O69" s="2">
        <v>112.6</v>
      </c>
      <c r="P69" s="2">
        <v>26.7</v>
      </c>
      <c r="Q69" s="2">
        <v>30.2</v>
      </c>
      <c r="R69" s="2">
        <v>3.5</v>
      </c>
      <c r="S69" s="2">
        <v>146.09</v>
      </c>
      <c r="T69" s="2">
        <v>370.1</v>
      </c>
      <c r="U69" s="2">
        <v>376.8</v>
      </c>
      <c r="V69" s="2">
        <v>-0.57999999999999996</v>
      </c>
      <c r="W69" s="2" t="s">
        <v>168</v>
      </c>
    </row>
    <row r="70" spans="1:23" x14ac:dyDescent="0.3">
      <c r="A70" s="2" cm="1">
        <f t="array" ref="A70">CountByColumnLogic(C70:W70)</f>
        <v>12</v>
      </c>
      <c r="B70" t="s">
        <v>237</v>
      </c>
      <c r="C70" s="2">
        <v>2.5</v>
      </c>
      <c r="D70" s="2">
        <v>2</v>
      </c>
      <c r="E70" s="2">
        <v>43.1</v>
      </c>
      <c r="F70" s="2">
        <v>59.2</v>
      </c>
      <c r="G70" s="2">
        <v>0.36499999999999999</v>
      </c>
      <c r="H70" s="2">
        <v>0.39500000000000002</v>
      </c>
      <c r="I70" s="2">
        <v>5</v>
      </c>
      <c r="J70" s="2">
        <v>142</v>
      </c>
      <c r="K70" s="2">
        <v>175.9</v>
      </c>
      <c r="L70" s="2">
        <v>0.73799999999999999</v>
      </c>
      <c r="M70" s="2">
        <v>0.85</v>
      </c>
      <c r="N70" s="2">
        <v>137.80000000000001</v>
      </c>
      <c r="O70" s="2">
        <v>165.4</v>
      </c>
      <c r="P70" s="2">
        <v>21</v>
      </c>
      <c r="Q70" s="2">
        <v>22.6</v>
      </c>
      <c r="R70" s="2">
        <v>1.6</v>
      </c>
      <c r="S70" s="2">
        <v>105.78</v>
      </c>
      <c r="T70" s="2">
        <v>313.7</v>
      </c>
      <c r="U70" s="2">
        <v>307.39999999999998</v>
      </c>
      <c r="V70" s="2">
        <v>0.33</v>
      </c>
      <c r="W70" s="2" t="s">
        <v>168</v>
      </c>
    </row>
    <row r="71" spans="1:23" x14ac:dyDescent="0.3">
      <c r="A71" s="2" cm="1">
        <f t="array" ref="A71">CountByColumnLogic(C71:W71)</f>
        <v>15</v>
      </c>
      <c r="B71" t="s">
        <v>238</v>
      </c>
      <c r="C71" s="2">
        <v>0.2</v>
      </c>
      <c r="D71" s="2">
        <v>90</v>
      </c>
      <c r="E71" s="2">
        <v>63.5</v>
      </c>
      <c r="F71" s="2">
        <v>42.2</v>
      </c>
      <c r="G71" s="2">
        <v>0.45800000000000002</v>
      </c>
      <c r="H71" s="2">
        <v>0.44</v>
      </c>
      <c r="I71" s="2">
        <v>5.5</v>
      </c>
      <c r="J71" s="2">
        <v>219.8</v>
      </c>
      <c r="K71" s="2">
        <v>181.7</v>
      </c>
      <c r="L71" s="2">
        <v>0.97199999999999998</v>
      </c>
      <c r="M71" s="2">
        <v>0.81499999999999995</v>
      </c>
      <c r="N71" s="2">
        <v>172.9</v>
      </c>
      <c r="O71" s="2">
        <v>186.2</v>
      </c>
      <c r="P71" s="2">
        <v>25.8</v>
      </c>
      <c r="Q71" s="2">
        <v>33.299999999999997</v>
      </c>
      <c r="R71" s="2">
        <v>7.5</v>
      </c>
      <c r="S71" s="2">
        <v>143.07</v>
      </c>
      <c r="T71" s="2">
        <v>354.6</v>
      </c>
      <c r="U71" s="2">
        <v>406</v>
      </c>
      <c r="V71" s="2">
        <v>1.08</v>
      </c>
      <c r="W71" s="2" t="s">
        <v>168</v>
      </c>
    </row>
    <row r="72" spans="1:23" x14ac:dyDescent="0.3">
      <c r="A72" s="2" cm="1">
        <f t="array" ref="A72">CountByColumnLogic(C72:W72)</f>
        <v>4</v>
      </c>
      <c r="B72" t="s">
        <v>239</v>
      </c>
      <c r="C72" s="2">
        <v>13.8</v>
      </c>
      <c r="D72" s="2">
        <v>76</v>
      </c>
      <c r="E72" s="2">
        <v>68.5</v>
      </c>
      <c r="F72" s="2">
        <v>76.7</v>
      </c>
      <c r="G72" s="2">
        <v>0.42499999999999999</v>
      </c>
      <c r="H72" s="2">
        <v>0.27100000000000002</v>
      </c>
      <c r="I72" s="2">
        <v>4.46</v>
      </c>
      <c r="J72" s="2">
        <v>285.10000000000002</v>
      </c>
      <c r="K72" s="2">
        <v>188.4</v>
      </c>
      <c r="L72" s="2">
        <v>0.78100000000000003</v>
      </c>
      <c r="M72" s="2">
        <v>0.92900000000000005</v>
      </c>
      <c r="N72" s="2">
        <v>111.2</v>
      </c>
      <c r="O72" s="2">
        <v>180.4</v>
      </c>
      <c r="P72" s="2">
        <v>17.399999999999999</v>
      </c>
      <c r="Q72" s="2">
        <v>40.6</v>
      </c>
      <c r="R72" s="2">
        <v>23.2</v>
      </c>
      <c r="S72" s="2">
        <v>156.09</v>
      </c>
      <c r="T72" s="2">
        <v>299.5</v>
      </c>
      <c r="U72" s="2">
        <v>465.5</v>
      </c>
      <c r="V72" s="2">
        <v>0.23</v>
      </c>
      <c r="W72" s="2" t="s">
        <v>168</v>
      </c>
    </row>
    <row r="73" spans="1:23" x14ac:dyDescent="0.3">
      <c r="A73" s="2" cm="1">
        <f t="array" ref="A73">CountByColumnLogic(C73:W73)</f>
        <v>10</v>
      </c>
      <c r="B73" t="s">
        <v>240</v>
      </c>
      <c r="C73" s="2">
        <v>0.8</v>
      </c>
      <c r="D73" s="2">
        <v>103</v>
      </c>
      <c r="E73" s="2">
        <v>50.5</v>
      </c>
      <c r="F73" s="2">
        <v>46.2</v>
      </c>
      <c r="G73" s="2">
        <v>0.433</v>
      </c>
      <c r="H73" s="2">
        <v>0.34</v>
      </c>
      <c r="I73" s="2">
        <v>6.75</v>
      </c>
      <c r="J73" s="2">
        <v>264.89999999999998</v>
      </c>
      <c r="K73" s="2">
        <v>210.1</v>
      </c>
      <c r="L73" s="2">
        <v>0.76700000000000002</v>
      </c>
      <c r="M73" s="2">
        <v>0.90700000000000003</v>
      </c>
      <c r="N73" s="2">
        <v>116.8</v>
      </c>
      <c r="O73" s="2">
        <v>159.69999999999999</v>
      </c>
      <c r="P73" s="2">
        <v>21.9</v>
      </c>
      <c r="Q73" s="2">
        <v>30.9</v>
      </c>
      <c r="R73" s="2">
        <v>9</v>
      </c>
      <c r="S73" s="2">
        <v>151.59</v>
      </c>
      <c r="T73" s="2">
        <v>326.8</v>
      </c>
      <c r="U73" s="2">
        <v>424.6</v>
      </c>
      <c r="V73" s="2">
        <v>0</v>
      </c>
      <c r="W73" s="2" t="s">
        <v>168</v>
      </c>
    </row>
    <row r="74" spans="1:23" x14ac:dyDescent="0.3">
      <c r="A74" s="2" cm="1">
        <f t="array" ref="A74">CountByColumnLogic(C74:W74)</f>
        <v>14</v>
      </c>
      <c r="B74" t="s">
        <v>241</v>
      </c>
      <c r="C74" s="2">
        <v>-9.9</v>
      </c>
      <c r="D74" s="2">
        <v>94</v>
      </c>
      <c r="E74" s="2">
        <v>42.5</v>
      </c>
      <c r="F74" s="2">
        <v>30.8</v>
      </c>
      <c r="G74" s="2">
        <v>0.38</v>
      </c>
      <c r="H74" s="2">
        <v>0.35299999999999998</v>
      </c>
      <c r="I74" s="2">
        <v>7.33</v>
      </c>
      <c r="J74" s="2">
        <v>270.7</v>
      </c>
      <c r="K74" s="2">
        <v>301.2</v>
      </c>
      <c r="L74" s="2">
        <v>0.84099999999999997</v>
      </c>
      <c r="M74" s="2">
        <v>0.73599999999999999</v>
      </c>
      <c r="N74" s="2">
        <v>154</v>
      </c>
      <c r="O74" s="2">
        <v>184.7</v>
      </c>
      <c r="P74" s="2">
        <v>34.9</v>
      </c>
      <c r="Q74" s="2">
        <v>30.7</v>
      </c>
      <c r="R74" s="2">
        <v>-4.2</v>
      </c>
      <c r="S74" s="2">
        <v>142.69</v>
      </c>
      <c r="T74" s="2">
        <v>455.2</v>
      </c>
      <c r="U74" s="2">
        <v>455.3</v>
      </c>
      <c r="V74" s="2">
        <v>0</v>
      </c>
      <c r="W74" s="2" t="s">
        <v>168</v>
      </c>
    </row>
    <row r="75" spans="1:23" x14ac:dyDescent="0.3">
      <c r="A75" s="2" cm="1">
        <f t="array" ref="A75">CountByColumnLogic(C75:W75)</f>
        <v>15</v>
      </c>
      <c r="B75" t="s">
        <v>242</v>
      </c>
      <c r="C75" s="2">
        <v>2.4</v>
      </c>
      <c r="D75" s="2">
        <v>61</v>
      </c>
      <c r="E75" s="2">
        <v>48.8</v>
      </c>
      <c r="F75" s="2">
        <v>56.8</v>
      </c>
      <c r="G75" s="2">
        <v>0.42499999999999999</v>
      </c>
      <c r="H75" s="2">
        <v>0.41199999999999998</v>
      </c>
      <c r="I75" s="2">
        <v>7.33</v>
      </c>
      <c r="J75" s="2">
        <v>173.7</v>
      </c>
      <c r="K75" s="2">
        <v>231.2</v>
      </c>
      <c r="L75" s="2">
        <v>0.76600000000000001</v>
      </c>
      <c r="M75" s="2">
        <v>0.78</v>
      </c>
      <c r="N75" s="2">
        <v>147.1</v>
      </c>
      <c r="O75" s="2">
        <v>185</v>
      </c>
      <c r="P75" s="2">
        <v>23.8</v>
      </c>
      <c r="Q75" s="2">
        <v>25.5</v>
      </c>
      <c r="R75" s="2">
        <v>1.7</v>
      </c>
      <c r="S75" s="2">
        <v>132.59</v>
      </c>
      <c r="T75" s="2">
        <v>378.3</v>
      </c>
      <c r="U75" s="2">
        <v>358.7</v>
      </c>
      <c r="V75" s="2">
        <v>0.08</v>
      </c>
      <c r="W75" s="2" t="s">
        <v>168</v>
      </c>
    </row>
    <row r="76" spans="1:23" x14ac:dyDescent="0.3">
      <c r="A76" s="2" cm="1">
        <f t="array" ref="A76">CountByColumnLogic(C76:W76)</f>
        <v>9</v>
      </c>
      <c r="B76" t="s">
        <v>243</v>
      </c>
      <c r="C76" s="2">
        <v>14.1</v>
      </c>
      <c r="D76" s="2">
        <v>16</v>
      </c>
      <c r="E76" s="2">
        <v>66.5</v>
      </c>
      <c r="F76" s="2">
        <v>68.400000000000006</v>
      </c>
      <c r="G76" s="2">
        <v>0.432</v>
      </c>
      <c r="H76" s="2">
        <v>0.38500000000000001</v>
      </c>
      <c r="I76" s="2">
        <v>8.17</v>
      </c>
      <c r="J76" s="2">
        <v>250.9</v>
      </c>
      <c r="K76" s="2">
        <v>234.9</v>
      </c>
      <c r="L76" s="2">
        <v>0.875</v>
      </c>
      <c r="M76" s="2">
        <v>0.83699999999999997</v>
      </c>
      <c r="N76" s="2">
        <v>113.8</v>
      </c>
      <c r="O76" s="2">
        <v>202.6</v>
      </c>
      <c r="P76" s="2">
        <v>22</v>
      </c>
      <c r="Q76" s="2">
        <v>31.5</v>
      </c>
      <c r="R76" s="2">
        <v>9.5</v>
      </c>
      <c r="S76" s="2">
        <v>144.16</v>
      </c>
      <c r="T76" s="2">
        <v>348.7</v>
      </c>
      <c r="U76" s="2">
        <v>453.5</v>
      </c>
      <c r="V76" s="2">
        <v>0.25</v>
      </c>
      <c r="W76" s="2">
        <v>12</v>
      </c>
    </row>
    <row r="77" spans="1:23" x14ac:dyDescent="0.3">
      <c r="A77" s="2" cm="1">
        <f t="array" ref="A77">CountByColumnLogic(C77:W77)</f>
        <v>4</v>
      </c>
      <c r="B77" t="s">
        <v>244</v>
      </c>
      <c r="C77" s="2">
        <v>23.2</v>
      </c>
      <c r="D77" s="2">
        <v>13</v>
      </c>
      <c r="E77" s="2">
        <v>76.7</v>
      </c>
      <c r="F77" s="2">
        <v>84</v>
      </c>
      <c r="G77" s="2">
        <v>0.38500000000000001</v>
      </c>
      <c r="H77" s="2">
        <v>0.26500000000000001</v>
      </c>
      <c r="I77" s="2">
        <v>6.31</v>
      </c>
      <c r="J77" s="2">
        <v>286.8</v>
      </c>
      <c r="K77" s="2">
        <v>240.8</v>
      </c>
      <c r="L77" s="2">
        <v>0.71399999999999997</v>
      </c>
      <c r="M77" s="2">
        <v>0.8</v>
      </c>
      <c r="N77" s="2">
        <v>80.8</v>
      </c>
      <c r="O77" s="2">
        <v>189.1</v>
      </c>
      <c r="P77" s="2">
        <v>17.5</v>
      </c>
      <c r="Q77" s="2">
        <v>36</v>
      </c>
      <c r="R77" s="2">
        <v>18.5</v>
      </c>
      <c r="S77" s="2">
        <v>154.5</v>
      </c>
      <c r="T77" s="2">
        <v>321.7</v>
      </c>
      <c r="U77" s="2">
        <v>475.9</v>
      </c>
      <c r="V77" s="2">
        <v>0.54</v>
      </c>
      <c r="W77" s="2">
        <v>11</v>
      </c>
    </row>
    <row r="78" spans="1:23" x14ac:dyDescent="0.3">
      <c r="A78" s="2" cm="1">
        <f t="array" ref="A78">CountByColumnLogic(C78:W78)</f>
        <v>8</v>
      </c>
      <c r="B78" t="s">
        <v>245</v>
      </c>
      <c r="C78" s="2">
        <v>15.4</v>
      </c>
      <c r="D78" s="2">
        <v>15</v>
      </c>
      <c r="E78" s="2">
        <v>65.900000000000006</v>
      </c>
      <c r="F78" s="2">
        <v>76.3</v>
      </c>
      <c r="G78" s="2">
        <v>0.439</v>
      </c>
      <c r="H78" s="2">
        <v>0.30299999999999999</v>
      </c>
      <c r="I78" s="2">
        <v>6.25</v>
      </c>
      <c r="J78" s="2">
        <v>262.3</v>
      </c>
      <c r="K78" s="2">
        <v>188.3</v>
      </c>
      <c r="L78" s="2">
        <v>0.80600000000000005</v>
      </c>
      <c r="M78" s="2">
        <v>0.86</v>
      </c>
      <c r="N78" s="2">
        <v>106.7</v>
      </c>
      <c r="O78" s="2">
        <v>141.4</v>
      </c>
      <c r="P78" s="2">
        <v>21.3</v>
      </c>
      <c r="Q78" s="2">
        <v>34.200000000000003</v>
      </c>
      <c r="R78" s="2">
        <v>12.9</v>
      </c>
      <c r="S78" s="2">
        <v>147.99</v>
      </c>
      <c r="T78" s="2">
        <v>295</v>
      </c>
      <c r="U78" s="2">
        <v>403.8</v>
      </c>
      <c r="V78" s="2">
        <v>-0.17</v>
      </c>
      <c r="W78" s="2">
        <v>23</v>
      </c>
    </row>
    <row r="79" spans="1:23" x14ac:dyDescent="0.3">
      <c r="A79" s="2" cm="1">
        <f t="array" ref="A79">CountByColumnLogic(C79:W79)</f>
        <v>14</v>
      </c>
      <c r="B79" t="s">
        <v>246</v>
      </c>
      <c r="C79" s="2">
        <v>-8.5</v>
      </c>
      <c r="D79" s="2">
        <v>125</v>
      </c>
      <c r="E79" s="2">
        <v>53.1</v>
      </c>
      <c r="F79" s="2">
        <v>32.299999999999997</v>
      </c>
      <c r="G79" s="2">
        <v>0.44900000000000001</v>
      </c>
      <c r="H79" s="2">
        <v>0.47799999999999998</v>
      </c>
      <c r="I79" s="2">
        <v>7</v>
      </c>
      <c r="J79" s="2">
        <v>280.8</v>
      </c>
      <c r="K79" s="2">
        <v>257.5</v>
      </c>
      <c r="L79" s="2">
        <v>0.84899999999999998</v>
      </c>
      <c r="M79" s="2">
        <v>0.86</v>
      </c>
      <c r="N79" s="2">
        <v>156.80000000000001</v>
      </c>
      <c r="O79" s="2">
        <v>189.9</v>
      </c>
      <c r="P79" s="2">
        <v>33.799999999999997</v>
      </c>
      <c r="Q79" s="2">
        <v>36</v>
      </c>
      <c r="R79" s="2">
        <v>2.2000000000000002</v>
      </c>
      <c r="S79" s="2">
        <v>154.07</v>
      </c>
      <c r="T79" s="2">
        <v>414.3</v>
      </c>
      <c r="U79" s="2">
        <v>470.8</v>
      </c>
      <c r="V79" s="2">
        <v>-0.67</v>
      </c>
      <c r="W79" s="2" t="s">
        <v>168</v>
      </c>
    </row>
    <row r="80" spans="1:23" x14ac:dyDescent="0.3">
      <c r="A80" s="2" cm="1">
        <f t="array" ref="A80">CountByColumnLogic(C80:W80)</f>
        <v>14</v>
      </c>
      <c r="B80" t="s">
        <v>247</v>
      </c>
      <c r="C80" s="2">
        <v>6.2</v>
      </c>
      <c r="D80" s="2">
        <v>23</v>
      </c>
      <c r="E80" s="2">
        <v>51.2</v>
      </c>
      <c r="F80" s="2">
        <v>66.3</v>
      </c>
      <c r="G80" s="2">
        <v>0.38600000000000001</v>
      </c>
      <c r="H80" s="2">
        <v>0.42399999999999999</v>
      </c>
      <c r="I80" s="2">
        <v>5.58</v>
      </c>
      <c r="J80" s="2">
        <v>221.1</v>
      </c>
      <c r="K80" s="2">
        <v>226.5</v>
      </c>
      <c r="L80" s="2">
        <v>0.83299999999999996</v>
      </c>
      <c r="M80" s="2">
        <v>0.84399999999999997</v>
      </c>
      <c r="N80" s="2">
        <v>167.7</v>
      </c>
      <c r="O80" s="2">
        <v>165.8</v>
      </c>
      <c r="P80" s="2">
        <v>27</v>
      </c>
      <c r="Q80" s="2">
        <v>26.8</v>
      </c>
      <c r="R80" s="2">
        <v>-0.2</v>
      </c>
      <c r="S80" s="2">
        <v>120.93</v>
      </c>
      <c r="T80" s="2">
        <v>394.2</v>
      </c>
      <c r="U80" s="2">
        <v>386.9</v>
      </c>
      <c r="V80" s="2">
        <v>-0.67</v>
      </c>
      <c r="W80" s="2" t="s">
        <v>168</v>
      </c>
    </row>
    <row r="81" spans="1:23" x14ac:dyDescent="0.3">
      <c r="A81" s="2" cm="1">
        <f t="array" ref="A81">CountByColumnLogic(C81:W81)</f>
        <v>11</v>
      </c>
      <c r="B81" t="s">
        <v>248</v>
      </c>
      <c r="C81" s="2">
        <v>0.5</v>
      </c>
      <c r="D81" s="2">
        <v>128</v>
      </c>
      <c r="E81" s="2">
        <v>55.6</v>
      </c>
      <c r="F81" s="2">
        <v>55.6</v>
      </c>
      <c r="G81" s="2">
        <v>0.45500000000000002</v>
      </c>
      <c r="H81" s="2">
        <v>0.37</v>
      </c>
      <c r="I81" s="2">
        <v>6.77</v>
      </c>
      <c r="J81" s="2">
        <v>223.5</v>
      </c>
      <c r="K81" s="2">
        <v>182.9</v>
      </c>
      <c r="L81" s="2">
        <v>0.77300000000000002</v>
      </c>
      <c r="M81" s="2">
        <v>0.89100000000000001</v>
      </c>
      <c r="N81" s="2">
        <v>147.19999999999999</v>
      </c>
      <c r="O81" s="2">
        <v>202.8</v>
      </c>
      <c r="P81" s="2">
        <v>20.6</v>
      </c>
      <c r="Q81" s="2">
        <v>33.6</v>
      </c>
      <c r="R81" s="2">
        <v>13</v>
      </c>
      <c r="S81" s="2">
        <v>154.47</v>
      </c>
      <c r="T81" s="2">
        <v>330.1</v>
      </c>
      <c r="U81" s="2">
        <v>426.2</v>
      </c>
      <c r="V81" s="2">
        <v>-0.15</v>
      </c>
      <c r="W81" s="2" t="s">
        <v>168</v>
      </c>
    </row>
    <row r="82" spans="1:23" x14ac:dyDescent="0.3">
      <c r="A82" s="2" cm="1">
        <f t="array" ref="A82">CountByColumnLogic(C82:W82)</f>
        <v>9</v>
      </c>
      <c r="B82" t="s">
        <v>249</v>
      </c>
      <c r="C82" s="2">
        <v>5.8</v>
      </c>
      <c r="D82" s="2">
        <v>95</v>
      </c>
      <c r="E82" s="2">
        <v>50.8</v>
      </c>
      <c r="F82" s="2">
        <v>73.5</v>
      </c>
      <c r="G82" s="2">
        <v>0.42099999999999999</v>
      </c>
      <c r="H82" s="2">
        <v>0.318</v>
      </c>
      <c r="I82" s="2">
        <v>5.23</v>
      </c>
      <c r="J82" s="2">
        <v>267.5</v>
      </c>
      <c r="K82" s="2">
        <v>202.9</v>
      </c>
      <c r="L82" s="2">
        <v>0.79500000000000004</v>
      </c>
      <c r="M82" s="2">
        <v>0.94</v>
      </c>
      <c r="N82" s="2">
        <v>103.5</v>
      </c>
      <c r="O82" s="2">
        <v>158.80000000000001</v>
      </c>
      <c r="P82" s="2">
        <v>17.2</v>
      </c>
      <c r="Q82" s="2">
        <v>31.2</v>
      </c>
      <c r="R82" s="2">
        <v>14</v>
      </c>
      <c r="S82" s="2">
        <v>151.72999999999999</v>
      </c>
      <c r="T82" s="2">
        <v>306.5</v>
      </c>
      <c r="U82" s="2">
        <v>426.3</v>
      </c>
      <c r="V82" s="2">
        <v>0.31</v>
      </c>
      <c r="W82" s="2" t="s">
        <v>168</v>
      </c>
    </row>
    <row r="83" spans="1:23" x14ac:dyDescent="0.3">
      <c r="A83" s="2" cm="1">
        <f t="array" ref="A83">CountByColumnLogic(C83:W83)</f>
        <v>11</v>
      </c>
      <c r="B83" t="s">
        <v>250</v>
      </c>
      <c r="C83" s="2">
        <v>3</v>
      </c>
      <c r="D83" s="2">
        <v>98</v>
      </c>
      <c r="E83" s="2">
        <v>46.8</v>
      </c>
      <c r="F83" s="2">
        <v>66.900000000000006</v>
      </c>
      <c r="G83" s="2">
        <v>0.38900000000000001</v>
      </c>
      <c r="H83" s="2">
        <v>0.35499999999999998</v>
      </c>
      <c r="I83" s="2">
        <v>5</v>
      </c>
      <c r="J83" s="2">
        <v>222.4</v>
      </c>
      <c r="K83" s="2">
        <v>239.2</v>
      </c>
      <c r="L83" s="2">
        <v>0.872</v>
      </c>
      <c r="M83" s="2">
        <v>0.75900000000000001</v>
      </c>
      <c r="N83" s="2">
        <v>93.5</v>
      </c>
      <c r="O83" s="2">
        <v>156.80000000000001</v>
      </c>
      <c r="P83" s="2">
        <v>18.899999999999999</v>
      </c>
      <c r="Q83" s="2">
        <v>26.8</v>
      </c>
      <c r="R83" s="2">
        <v>7.9</v>
      </c>
      <c r="S83" s="2">
        <v>151.97</v>
      </c>
      <c r="T83" s="2">
        <v>332.7</v>
      </c>
      <c r="U83" s="2">
        <v>379.2</v>
      </c>
      <c r="V83" s="2">
        <v>0.62</v>
      </c>
      <c r="W83" s="2">
        <v>24</v>
      </c>
    </row>
    <row r="84" spans="1:23" x14ac:dyDescent="0.3">
      <c r="A84" s="2" cm="1">
        <f t="array" ref="A84">CountByColumnLogic(C84:W84)</f>
        <v>12</v>
      </c>
      <c r="B84" t="s">
        <v>251</v>
      </c>
      <c r="C84" s="2">
        <v>9.6999999999999993</v>
      </c>
      <c r="D84" s="2">
        <v>38</v>
      </c>
      <c r="E84" s="2">
        <v>76.099999999999994</v>
      </c>
      <c r="F84" s="2">
        <v>58.3</v>
      </c>
      <c r="G84" s="2">
        <v>0.5</v>
      </c>
      <c r="H84" s="2">
        <v>0.39600000000000002</v>
      </c>
      <c r="I84" s="2">
        <v>6</v>
      </c>
      <c r="J84" s="2">
        <v>259.10000000000002</v>
      </c>
      <c r="K84" s="2">
        <v>205.8</v>
      </c>
      <c r="L84" s="2">
        <v>0.80400000000000005</v>
      </c>
      <c r="M84" s="2">
        <v>0.79200000000000004</v>
      </c>
      <c r="N84" s="2">
        <v>186.8</v>
      </c>
      <c r="O84" s="2">
        <v>233.2</v>
      </c>
      <c r="P84" s="2">
        <v>25.4</v>
      </c>
      <c r="Q84" s="2">
        <v>25.4</v>
      </c>
      <c r="R84" s="2">
        <v>0</v>
      </c>
      <c r="S84" s="2">
        <v>32.299999999999997</v>
      </c>
      <c r="T84" s="2">
        <v>392.7</v>
      </c>
      <c r="U84" s="2">
        <v>492.2</v>
      </c>
      <c r="V84" s="2">
        <v>-0.8</v>
      </c>
      <c r="W84" s="2" t="s">
        <v>168</v>
      </c>
    </row>
    <row r="85" spans="1:23" x14ac:dyDescent="0.3">
      <c r="A85" s="2" cm="1">
        <f t="array" ref="A85">CountByColumnLogic(C85:W85)</f>
        <v>10</v>
      </c>
      <c r="B85" t="s">
        <v>252</v>
      </c>
      <c r="C85" s="2">
        <v>7.1</v>
      </c>
      <c r="D85" s="2">
        <v>66</v>
      </c>
      <c r="E85" s="2">
        <v>41.3</v>
      </c>
      <c r="F85" s="2">
        <v>82.5</v>
      </c>
      <c r="G85" s="2">
        <v>0.45100000000000001</v>
      </c>
      <c r="H85" s="2">
        <v>0.35099999999999998</v>
      </c>
      <c r="I85" s="2">
        <v>6.67</v>
      </c>
      <c r="J85" s="2">
        <v>229.1</v>
      </c>
      <c r="K85" s="2">
        <v>229.4</v>
      </c>
      <c r="L85" s="2">
        <v>0.8</v>
      </c>
      <c r="M85" s="2">
        <v>0.61799999999999999</v>
      </c>
      <c r="N85" s="2">
        <v>69.599999999999994</v>
      </c>
      <c r="O85" s="2">
        <v>191.1</v>
      </c>
      <c r="P85" s="2">
        <v>18.100000000000001</v>
      </c>
      <c r="Q85" s="2">
        <v>25.8</v>
      </c>
      <c r="R85" s="2">
        <v>7.7</v>
      </c>
      <c r="S85" s="2">
        <v>128.33000000000001</v>
      </c>
      <c r="T85" s="2">
        <v>299</v>
      </c>
      <c r="U85" s="2">
        <v>420.2</v>
      </c>
      <c r="V85" s="2">
        <v>0.08</v>
      </c>
      <c r="W85" s="2" t="s">
        <v>168</v>
      </c>
    </row>
    <row r="86" spans="1:23" x14ac:dyDescent="0.3">
      <c r="A86" s="2" cm="1">
        <f t="array" ref="A86">CountByColumnLogic(C86:W86)</f>
        <v>14</v>
      </c>
      <c r="B86" t="s">
        <v>253</v>
      </c>
      <c r="C86" s="2">
        <v>-1.8</v>
      </c>
      <c r="D86" s="2">
        <v>68</v>
      </c>
      <c r="E86" s="2">
        <v>49.6</v>
      </c>
      <c r="F86" s="2">
        <v>42</v>
      </c>
      <c r="G86" s="2">
        <v>0.503</v>
      </c>
      <c r="H86" s="2">
        <v>0.35599999999999998</v>
      </c>
      <c r="I86" s="2">
        <v>6.69</v>
      </c>
      <c r="J86" s="2">
        <v>235.2</v>
      </c>
      <c r="K86" s="2">
        <v>238.7</v>
      </c>
      <c r="L86" s="2">
        <v>0.84799999999999998</v>
      </c>
      <c r="M86" s="2">
        <v>0.92700000000000005</v>
      </c>
      <c r="N86" s="2">
        <v>163.30000000000001</v>
      </c>
      <c r="O86" s="2">
        <v>179.5</v>
      </c>
      <c r="P86" s="2">
        <v>27</v>
      </c>
      <c r="Q86" s="2">
        <v>34.299999999999997</v>
      </c>
      <c r="R86" s="2">
        <v>7.3</v>
      </c>
      <c r="S86" s="2">
        <v>138.22999999999999</v>
      </c>
      <c r="T86" s="2">
        <v>402</v>
      </c>
      <c r="U86" s="2">
        <v>414.8</v>
      </c>
      <c r="V86" s="2">
        <v>0.54</v>
      </c>
      <c r="W86" s="2" t="s">
        <v>168</v>
      </c>
    </row>
    <row r="87" spans="1:23" x14ac:dyDescent="0.3">
      <c r="A87" s="2" cm="1">
        <f t="array" ref="A87">CountByColumnLogic(C87:W87)</f>
        <v>12</v>
      </c>
      <c r="B87" t="s">
        <v>254</v>
      </c>
      <c r="C87" s="2">
        <v>13.1</v>
      </c>
      <c r="D87" s="2">
        <v>18</v>
      </c>
      <c r="E87" s="2">
        <v>82.7</v>
      </c>
      <c r="F87" s="2">
        <v>42.1</v>
      </c>
      <c r="G87" s="2">
        <v>0.42099999999999999</v>
      </c>
      <c r="H87" s="2">
        <v>0.432</v>
      </c>
      <c r="I87" s="2">
        <v>7.92</v>
      </c>
      <c r="J87" s="2">
        <v>329.8</v>
      </c>
      <c r="K87" s="2">
        <v>255.2</v>
      </c>
      <c r="L87" s="2">
        <v>0.92</v>
      </c>
      <c r="M87" s="2">
        <v>0.89100000000000001</v>
      </c>
      <c r="N87" s="2">
        <v>183.7</v>
      </c>
      <c r="O87" s="2">
        <v>139.9</v>
      </c>
      <c r="P87" s="2">
        <v>34.9</v>
      </c>
      <c r="Q87" s="2">
        <v>41.8</v>
      </c>
      <c r="R87" s="2">
        <v>6.9</v>
      </c>
      <c r="S87" s="2">
        <v>167.22</v>
      </c>
      <c r="T87" s="2">
        <v>438.8</v>
      </c>
      <c r="U87" s="2">
        <v>469.7</v>
      </c>
      <c r="V87" s="2">
        <v>-0.17</v>
      </c>
      <c r="W87" s="2">
        <v>6</v>
      </c>
    </row>
    <row r="88" spans="1:23" x14ac:dyDescent="0.3">
      <c r="A88" s="2" cm="1">
        <f t="array" ref="A88">CountByColumnLogic(C88:W88)</f>
        <v>10</v>
      </c>
      <c r="B88" t="s">
        <v>255</v>
      </c>
      <c r="C88" s="2">
        <v>10.8</v>
      </c>
      <c r="D88" s="2">
        <v>30</v>
      </c>
      <c r="E88" s="2">
        <v>50.7</v>
      </c>
      <c r="F88" s="2">
        <v>74.8</v>
      </c>
      <c r="G88" s="2">
        <v>0.42</v>
      </c>
      <c r="H88" s="2">
        <v>0.28899999999999998</v>
      </c>
      <c r="I88" s="2">
        <v>5.17</v>
      </c>
      <c r="J88" s="2">
        <v>173.6</v>
      </c>
      <c r="K88" s="2">
        <v>224.3</v>
      </c>
      <c r="L88" s="2">
        <v>0.79300000000000004</v>
      </c>
      <c r="M88" s="2">
        <v>0.80900000000000005</v>
      </c>
      <c r="N88" s="2">
        <v>84.2</v>
      </c>
      <c r="O88" s="2">
        <v>186.2</v>
      </c>
      <c r="P88" s="2">
        <v>19.8</v>
      </c>
      <c r="Q88" s="2">
        <v>24.5</v>
      </c>
      <c r="R88" s="2">
        <v>4.7</v>
      </c>
      <c r="S88" s="2">
        <v>123.08</v>
      </c>
      <c r="T88" s="2">
        <v>308.60000000000002</v>
      </c>
      <c r="U88" s="2">
        <v>359.8</v>
      </c>
      <c r="V88" s="2">
        <v>0.42</v>
      </c>
      <c r="W88" s="2">
        <v>14</v>
      </c>
    </row>
    <row r="89" spans="1:23" x14ac:dyDescent="0.3">
      <c r="A89" s="2" cm="1">
        <f t="array" ref="A89">CountByColumnLogic(C89:W89)</f>
        <v>14</v>
      </c>
      <c r="B89" t="s">
        <v>256</v>
      </c>
      <c r="C89" s="2">
        <v>-7.6</v>
      </c>
      <c r="D89" s="2">
        <v>115</v>
      </c>
      <c r="E89" s="2">
        <v>48.1</v>
      </c>
      <c r="F89" s="2">
        <v>32.700000000000003</v>
      </c>
      <c r="G89" s="2">
        <v>0.36499999999999999</v>
      </c>
      <c r="H89" s="2">
        <v>0.41299999999999998</v>
      </c>
      <c r="I89" s="2">
        <v>7.75</v>
      </c>
      <c r="J89" s="2">
        <v>259.8</v>
      </c>
      <c r="K89" s="2">
        <v>216.5</v>
      </c>
      <c r="L89" s="2">
        <v>0.82499999999999996</v>
      </c>
      <c r="M89" s="2">
        <v>0.88400000000000001</v>
      </c>
      <c r="N89" s="2">
        <v>199.1</v>
      </c>
      <c r="O89" s="2">
        <v>186.6</v>
      </c>
      <c r="P89" s="2">
        <v>33.799999999999997</v>
      </c>
      <c r="Q89" s="2">
        <v>34.1</v>
      </c>
      <c r="R89" s="2">
        <v>0.3</v>
      </c>
      <c r="S89" s="2">
        <v>144.72999999999999</v>
      </c>
      <c r="T89" s="2">
        <v>415.6</v>
      </c>
      <c r="U89" s="2">
        <v>446.3</v>
      </c>
      <c r="V89" s="2">
        <v>-0.42</v>
      </c>
      <c r="W89" s="2" t="s">
        <v>168</v>
      </c>
    </row>
    <row r="90" spans="1:23" x14ac:dyDescent="0.3">
      <c r="A90" s="2" cm="1">
        <f t="array" ref="A90">CountByColumnLogic(C90:W90)</f>
        <v>14</v>
      </c>
      <c r="B90" t="s">
        <v>257</v>
      </c>
      <c r="C90" s="2">
        <v>1.1000000000000001</v>
      </c>
      <c r="D90" s="2">
        <v>104</v>
      </c>
      <c r="E90" s="2">
        <v>48.5</v>
      </c>
      <c r="F90" s="2">
        <v>51.1</v>
      </c>
      <c r="G90" s="2">
        <v>0.47499999999999998</v>
      </c>
      <c r="H90" s="2">
        <v>0.39600000000000002</v>
      </c>
      <c r="I90" s="2">
        <v>5.67</v>
      </c>
      <c r="J90" s="2">
        <v>249.8</v>
      </c>
      <c r="K90" s="2">
        <v>231.6</v>
      </c>
      <c r="L90" s="2">
        <v>0.85</v>
      </c>
      <c r="M90" s="2">
        <v>0.84799999999999998</v>
      </c>
      <c r="N90" s="2">
        <v>137.69999999999999</v>
      </c>
      <c r="O90" s="2">
        <v>174.8</v>
      </c>
      <c r="P90" s="2">
        <v>24.7</v>
      </c>
      <c r="Q90" s="2">
        <v>31.7</v>
      </c>
      <c r="R90" s="2">
        <v>7</v>
      </c>
      <c r="S90" s="2">
        <v>137.75</v>
      </c>
      <c r="T90" s="2">
        <v>369.2</v>
      </c>
      <c r="U90" s="2">
        <v>424.6</v>
      </c>
      <c r="V90" s="2">
        <v>-0.25</v>
      </c>
      <c r="W90" s="2" t="s">
        <v>168</v>
      </c>
    </row>
    <row r="91" spans="1:23" x14ac:dyDescent="0.3">
      <c r="A91" s="2" cm="1">
        <f t="array" ref="A91">CountByColumnLogic(C91:W91)</f>
        <v>14</v>
      </c>
      <c r="B91" t="s">
        <v>258</v>
      </c>
      <c r="C91" s="2">
        <v>4.0999999999999996</v>
      </c>
      <c r="D91" s="2">
        <v>67</v>
      </c>
      <c r="E91" s="2">
        <v>58.9</v>
      </c>
      <c r="F91" s="2">
        <v>47.9</v>
      </c>
      <c r="G91" s="2">
        <v>0.33500000000000002</v>
      </c>
      <c r="H91" s="2">
        <v>0.35699999999999998</v>
      </c>
      <c r="I91" s="2">
        <v>6.42</v>
      </c>
      <c r="J91" s="2">
        <v>210.9</v>
      </c>
      <c r="K91" s="2">
        <v>172.9</v>
      </c>
      <c r="L91" s="2">
        <v>0.93300000000000005</v>
      </c>
      <c r="M91" s="2">
        <v>0.86699999999999999</v>
      </c>
      <c r="N91" s="2">
        <v>149.19999999999999</v>
      </c>
      <c r="O91" s="2">
        <v>175.4</v>
      </c>
      <c r="P91" s="2">
        <v>24.2</v>
      </c>
      <c r="Q91" s="2">
        <v>28.6</v>
      </c>
      <c r="R91" s="2">
        <v>4.4000000000000004</v>
      </c>
      <c r="S91" s="2">
        <v>138.07</v>
      </c>
      <c r="T91" s="2">
        <v>322.2</v>
      </c>
      <c r="U91" s="2">
        <v>286.3</v>
      </c>
      <c r="V91" s="2">
        <v>0</v>
      </c>
      <c r="W91" s="2" t="s">
        <v>168</v>
      </c>
    </row>
    <row r="92" spans="1:23" x14ac:dyDescent="0.3">
      <c r="A92" s="2" cm="1">
        <f t="array" ref="A92">CountByColumnLogic(C92:W92)</f>
        <v>9</v>
      </c>
      <c r="B92" t="s">
        <v>259</v>
      </c>
      <c r="C92" s="2">
        <v>17.5</v>
      </c>
      <c r="D92" s="2">
        <v>10</v>
      </c>
      <c r="E92" s="2">
        <v>86.1</v>
      </c>
      <c r="F92" s="2">
        <v>64.8</v>
      </c>
      <c r="G92" s="2">
        <v>0.48299999999999998</v>
      </c>
      <c r="H92" s="2">
        <v>0.40300000000000002</v>
      </c>
      <c r="I92" s="2">
        <v>7.85</v>
      </c>
      <c r="J92" s="2">
        <v>343.8</v>
      </c>
      <c r="K92" s="2">
        <v>263.2</v>
      </c>
      <c r="L92" s="2">
        <v>0.84099999999999997</v>
      </c>
      <c r="M92" s="2">
        <v>0.85899999999999999</v>
      </c>
      <c r="N92" s="2">
        <v>133.80000000000001</v>
      </c>
      <c r="O92" s="2">
        <v>125.2</v>
      </c>
      <c r="P92" s="2">
        <v>23.6</v>
      </c>
      <c r="Q92" s="2">
        <v>37.700000000000003</v>
      </c>
      <c r="R92" s="2">
        <v>14.1</v>
      </c>
      <c r="S92" s="2">
        <v>163.43</v>
      </c>
      <c r="T92" s="2">
        <v>396.9</v>
      </c>
      <c r="U92" s="2">
        <v>469.1</v>
      </c>
      <c r="V92" s="2">
        <v>0.08</v>
      </c>
      <c r="W92" s="2">
        <v>10</v>
      </c>
    </row>
    <row r="93" spans="1:23" x14ac:dyDescent="0.3">
      <c r="A93" s="2" cm="1">
        <f t="array" ref="A93">CountByColumnLogic(C93:W93)</f>
        <v>12</v>
      </c>
      <c r="B93" t="s">
        <v>260</v>
      </c>
      <c r="C93" s="2">
        <v>5.9</v>
      </c>
      <c r="D93" s="2">
        <v>19</v>
      </c>
      <c r="E93" s="2">
        <v>69.7</v>
      </c>
      <c r="F93" s="2">
        <v>53.5</v>
      </c>
      <c r="G93" s="2">
        <v>0.40400000000000003</v>
      </c>
      <c r="H93" s="2">
        <v>0.38500000000000001</v>
      </c>
      <c r="I93" s="2">
        <v>4.83</v>
      </c>
      <c r="J93" s="2">
        <v>203.8</v>
      </c>
      <c r="K93" s="2">
        <v>239.9</v>
      </c>
      <c r="L93" s="2">
        <v>0.84199999999999997</v>
      </c>
      <c r="M93" s="2">
        <v>0.83299999999999996</v>
      </c>
      <c r="N93" s="2">
        <v>144.30000000000001</v>
      </c>
      <c r="O93" s="2">
        <v>234.3</v>
      </c>
      <c r="P93" s="2">
        <v>27.5</v>
      </c>
      <c r="Q93" s="2">
        <v>31.6</v>
      </c>
      <c r="R93" s="2">
        <v>4.0999999999999996</v>
      </c>
      <c r="S93" s="2">
        <v>134.27000000000001</v>
      </c>
      <c r="T93" s="2">
        <v>384.2</v>
      </c>
      <c r="U93" s="2">
        <v>438.2</v>
      </c>
      <c r="V93" s="2">
        <v>0</v>
      </c>
      <c r="W93" s="2" t="s">
        <v>168</v>
      </c>
    </row>
    <row r="94" spans="1:23" x14ac:dyDescent="0.3">
      <c r="A94" s="2" cm="1">
        <f t="array" ref="A94">CountByColumnLogic(C94:W94)</f>
        <v>14</v>
      </c>
      <c r="B94" t="s">
        <v>261</v>
      </c>
      <c r="C94" s="2">
        <v>-5.2</v>
      </c>
      <c r="D94" s="2">
        <v>75</v>
      </c>
      <c r="E94" s="2">
        <v>48.5</v>
      </c>
      <c r="F94" s="2">
        <v>47.4</v>
      </c>
      <c r="G94" s="2">
        <v>0.41</v>
      </c>
      <c r="H94" s="2">
        <v>0.38800000000000001</v>
      </c>
      <c r="I94" s="2">
        <v>4.5</v>
      </c>
      <c r="J94" s="2">
        <v>287.89999999999998</v>
      </c>
      <c r="K94" s="2">
        <v>238.6</v>
      </c>
      <c r="L94" s="2">
        <v>0.81</v>
      </c>
      <c r="M94" s="2">
        <v>0.94299999999999995</v>
      </c>
      <c r="N94" s="2">
        <v>189.5</v>
      </c>
      <c r="O94" s="2">
        <v>108.1</v>
      </c>
      <c r="P94" s="2">
        <v>28.2</v>
      </c>
      <c r="Q94" s="2">
        <v>29.8</v>
      </c>
      <c r="R94" s="2">
        <v>1.6</v>
      </c>
      <c r="S94" s="2">
        <v>139.78</v>
      </c>
      <c r="T94" s="2">
        <v>428.1</v>
      </c>
      <c r="U94" s="2">
        <v>396</v>
      </c>
      <c r="V94" s="2">
        <v>0.57999999999999996</v>
      </c>
      <c r="W94" s="2" t="s">
        <v>168</v>
      </c>
    </row>
    <row r="95" spans="1:23" x14ac:dyDescent="0.3">
      <c r="A95" s="2" cm="1">
        <f t="array" ref="A95">CountByColumnLogic(C95:W95)</f>
        <v>11</v>
      </c>
      <c r="B95" t="s">
        <v>262</v>
      </c>
      <c r="C95" s="2">
        <v>6</v>
      </c>
      <c r="D95" s="2">
        <v>73</v>
      </c>
      <c r="E95" s="2">
        <v>46.9</v>
      </c>
      <c r="F95" s="2">
        <v>61.6</v>
      </c>
      <c r="G95" s="2">
        <v>0.44600000000000001</v>
      </c>
      <c r="H95" s="2">
        <v>0.39900000000000002</v>
      </c>
      <c r="I95" s="2">
        <v>5.5</v>
      </c>
      <c r="J95" s="2">
        <v>207</v>
      </c>
      <c r="K95" s="2">
        <v>193.4</v>
      </c>
      <c r="L95" s="2">
        <v>0.78100000000000003</v>
      </c>
      <c r="M95" s="2">
        <v>0.85699999999999998</v>
      </c>
      <c r="N95" s="2">
        <v>138.19999999999999</v>
      </c>
      <c r="O95" s="2">
        <v>163.80000000000001</v>
      </c>
      <c r="P95" s="2">
        <v>18.899999999999999</v>
      </c>
      <c r="Q95" s="2">
        <v>22.8</v>
      </c>
      <c r="R95" s="2">
        <v>3.9</v>
      </c>
      <c r="S95" s="2">
        <v>113.98</v>
      </c>
      <c r="T95" s="2">
        <v>331.7</v>
      </c>
      <c r="U95" s="2">
        <v>370.8</v>
      </c>
      <c r="V95" s="2">
        <v>0</v>
      </c>
      <c r="W95" s="2">
        <v>19</v>
      </c>
    </row>
    <row r="96" spans="1:23" x14ac:dyDescent="0.3">
      <c r="A96" s="2" cm="1">
        <f t="array" ref="A96">CountByColumnLogic(C96:W96)</f>
        <v>16</v>
      </c>
      <c r="B96" t="s">
        <v>263</v>
      </c>
      <c r="C96" s="2">
        <v>-2.2999999999999998</v>
      </c>
      <c r="D96" s="2">
        <v>78</v>
      </c>
      <c r="E96" s="2">
        <v>49.2</v>
      </c>
      <c r="F96" s="2">
        <v>53.9</v>
      </c>
      <c r="G96" s="2">
        <v>0.36199999999999999</v>
      </c>
      <c r="H96" s="2">
        <v>0.45500000000000002</v>
      </c>
      <c r="I96" s="2">
        <v>4.08</v>
      </c>
      <c r="J96" s="2">
        <v>167.2</v>
      </c>
      <c r="K96" s="2">
        <v>215.7</v>
      </c>
      <c r="L96" s="2">
        <v>0.84399999999999997</v>
      </c>
      <c r="M96" s="2">
        <v>0.86499999999999999</v>
      </c>
      <c r="N96" s="2">
        <v>144.6</v>
      </c>
      <c r="O96" s="2">
        <v>157.5</v>
      </c>
      <c r="P96" s="2">
        <v>22.9</v>
      </c>
      <c r="Q96" s="2">
        <v>26.1</v>
      </c>
      <c r="R96" s="2">
        <v>3.2</v>
      </c>
      <c r="S96" s="2">
        <v>141.01</v>
      </c>
      <c r="T96" s="2">
        <v>360.2</v>
      </c>
      <c r="U96" s="2">
        <v>324.8</v>
      </c>
      <c r="V96" s="2">
        <v>0.83</v>
      </c>
      <c r="W96" s="2" t="s">
        <v>168</v>
      </c>
    </row>
  </sheetData>
  <autoFilter ref="A12:W12" xr:uid="{D6FB44F2-B665-45CB-8668-32AA138BC639}"/>
  <conditionalFormatting sqref="C13:C949">
    <cfRule type="cellIs" dxfId="8" priority="8" stopIfTrue="1" operator="greaterThanOrEqual">
      <formula>INDIRECT(ADDRESS(12, COLUMN()))</formula>
    </cfRule>
    <cfRule type="cellIs" dxfId="7" priority="9" stopIfTrue="1" operator="lessThan">
      <formula>INDIRECT(ADDRESS(12, COLUMN()))</formula>
    </cfRule>
  </conditionalFormatting>
  <conditionalFormatting sqref="G13:G949 J13:J949 M13:M949 O13:O949 Q13:S949 U13:V949">
    <cfRule type="cellIs" dxfId="6" priority="6" stopIfTrue="1" operator="lessThan">
      <formula>INDIRECT(ADDRESS(12, COLUMN()))</formula>
    </cfRule>
    <cfRule type="cellIs" dxfId="5" priority="7" stopIfTrue="1" operator="greaterThanOrEqual">
      <formula>INDIRECT(ADDRESS(12, COLUMN()))</formula>
    </cfRule>
  </conditionalFormatting>
  <conditionalFormatting sqref="W13:W949 T13:T949 P13:P949 N13:N949 K13:L949 H13:I949 D13:D949">
    <cfRule type="cellIs" dxfId="4" priority="3" stopIfTrue="1" operator="greaterThan">
      <formula>INDIRECT(ADDRESS(12, COLUMN()))</formula>
    </cfRule>
    <cfRule type="cellIs" dxfId="3" priority="4" stopIfTrue="1" operator="lessThanOrEqual">
      <formula>INDIRECT(ADDRESS(12, COLUMN()))</formula>
    </cfRule>
  </conditionalFormatting>
  <conditionalFormatting sqref="E13:F949">
    <cfRule type="cellIs" dxfId="2" priority="1" stopIfTrue="1" operator="greaterThanOrEqual">
      <formula>INDIRECT(ADDRESS(12, COLUMN()))</formula>
    </cfRule>
    <cfRule type="cellIs" dxfId="1" priority="2" stopIfTrue="1" operator="lessThan">
      <formula>INDIRECT(ADDRESS(12, COLUMN()))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5" stopIfTrue="1" operator="endsWith" id="{1DEB610F-91C6-4C80-BBBA-02D7B67F8154}">
            <xm:f>RIGHT(C13,LEN("-"))="-"</xm:f>
            <xm:f>"-"</xm:f>
            <x14:dxf>
              <font>
                <color auto="1"/>
              </font>
              <fill>
                <patternFill>
                  <fgColor theme="6" tint="0.79995117038483843"/>
                  <bgColor theme="5" tint="0.79998168889431442"/>
                </patternFill>
              </fill>
            </x14:dxf>
          </x14:cfRule>
          <xm:sqref>C13:W949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2025</vt:lpstr>
      <vt:lpstr>2024</vt:lpstr>
      <vt:lpstr>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Jauhiainen</dc:creator>
  <cp:lastModifiedBy>Simeon Jauhiainen</cp:lastModifiedBy>
  <dcterms:created xsi:type="dcterms:W3CDTF">2025-08-06T18:05:30Z</dcterms:created>
  <dcterms:modified xsi:type="dcterms:W3CDTF">2026-01-23T21:46:59Z</dcterms:modified>
</cp:coreProperties>
</file>